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4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杨皓" sheetId="9" r:id="rId8"/>
    <sheet name="郑志远" sheetId="10" r:id="rId9"/>
    <sheet name="何欢洁" sheetId="11" r:id="rId10"/>
  </sheets>
  <externalReferences>
    <externalReference r:id="rId11"/>
    <externalReference r:id="rId12"/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<sst xmlns="http://schemas.openxmlformats.org/spreadsheetml/2006/main" count="252" uniqueCount="42">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</sst>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  <numFmt numFmtId="181" formatCode="#,##0[$₽-419];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9" fontId="1" fillId="0" borderId="1" xfId="3" applyFont="1" applyFill="1" applyBorder="1" applyAlignment="1" applyProtection="1">
      <alignment horizontal="center" vertical="center"/>
    </xf>
    <xf numFmtId="0" fontId="1" fillId="6" borderId="0" xfId="0" applyFont="1" applyFill="1" applyAlignment="1">
      <alignment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1" fontId="1" fillId="0" borderId="1" xfId="0" applyNumberFormat="1" applyFont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customXml" Target="../customXml/item1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externalLink" Target="externalLinks/externalLink3.xml"/><Relationship Id="rId12" Type="http://schemas.openxmlformats.org/officeDocument/2006/relationships/externalLink" Target="externalLinks/externalLink2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19968;&#37096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>
        <row r="4">
          <cell r="C4">
            <v>935295.04</v>
          </cell>
        </row>
        <row r="4">
          <cell r="F4">
            <v>698610.823760655</v>
          </cell>
        </row>
        <row r="4">
          <cell r="I4">
            <v>0</v>
          </cell>
        </row>
        <row r="4">
          <cell r="L4">
            <v>0</v>
          </cell>
        </row>
        <row r="5">
          <cell r="C5">
            <v>0.725215936135818</v>
          </cell>
        </row>
        <row r="5">
          <cell r="F5">
            <v>0.420051351495379</v>
          </cell>
        </row>
        <row r="5">
          <cell r="I5">
            <v>0</v>
          </cell>
        </row>
        <row r="5">
          <cell r="L5">
            <v>0</v>
          </cell>
        </row>
        <row r="6">
          <cell r="C6">
            <v>335792.794830819</v>
          </cell>
          <cell r="D6">
            <v>495821.970600399</v>
          </cell>
          <cell r="E6">
            <v>546265.878674808</v>
          </cell>
          <cell r="F6">
            <v>614961.359102038</v>
          </cell>
          <cell r="G6">
            <v>531399.518028897</v>
          </cell>
          <cell r="H6">
            <v>549112.835296526</v>
          </cell>
          <cell r="I6">
            <v>691873.249103936</v>
          </cell>
          <cell r="J6">
            <v>669554.757197358</v>
          </cell>
          <cell r="K6">
            <v>667313.309995024</v>
          </cell>
          <cell r="L6">
            <v>619182.362865127</v>
          </cell>
          <cell r="M6">
            <v>639821.774960632</v>
          </cell>
          <cell r="N6">
            <v>358899.96389988</v>
          </cell>
        </row>
        <row r="7">
          <cell r="C7">
            <v>301715.93</v>
          </cell>
          <cell r="D7">
            <v>484842.75</v>
          </cell>
          <cell r="E7">
            <v>148736.36</v>
          </cell>
          <cell r="F7">
            <v>284968.47</v>
          </cell>
          <cell r="G7">
            <v>269170.203815175</v>
          </cell>
          <cell r="H7">
            <v>144472.14994548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10">
          <cell r="C10">
            <v>20440</v>
          </cell>
          <cell r="D10">
            <v>30070</v>
          </cell>
          <cell r="E10">
            <v>33000</v>
          </cell>
          <cell r="F10">
            <v>37200</v>
          </cell>
          <cell r="G10">
            <v>32100</v>
          </cell>
          <cell r="H10">
            <v>33170</v>
          </cell>
          <cell r="I10">
            <v>41850</v>
          </cell>
          <cell r="J10">
            <v>40500</v>
          </cell>
          <cell r="K10">
            <v>40300</v>
          </cell>
          <cell r="L10">
            <v>37500</v>
          </cell>
          <cell r="M10">
            <v>38750</v>
          </cell>
          <cell r="N10">
            <v>21700</v>
          </cell>
        </row>
        <row r="11">
          <cell r="C11">
            <v>20744</v>
          </cell>
          <cell r="D11">
            <v>35092</v>
          </cell>
          <cell r="E11">
            <v>21224</v>
          </cell>
          <cell r="F11">
            <v>27150</v>
          </cell>
          <cell r="G11">
            <v>16959</v>
          </cell>
          <cell r="H11">
            <v>8876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4">
          <cell r="C14">
            <v>6897.35764350642</v>
          </cell>
          <cell r="D14">
            <v>10111.6874213955</v>
          </cell>
          <cell r="E14">
            <v>11086.2267444023</v>
          </cell>
          <cell r="F14">
            <v>12472.0552607735</v>
          </cell>
          <cell r="G14">
            <v>10728.7647155245</v>
          </cell>
          <cell r="H14">
            <v>11086.390206042</v>
          </cell>
          <cell r="I14">
            <v>13984.8055722318</v>
          </cell>
          <cell r="J14">
            <v>13533.6828118373</v>
          </cell>
          <cell r="K14">
            <v>13410.0089029832</v>
          </cell>
          <cell r="L14">
            <v>12490.9058483349</v>
          </cell>
          <cell r="M14">
            <v>12907.2693766127</v>
          </cell>
          <cell r="N14">
            <v>7213.14826393716</v>
          </cell>
        </row>
        <row r="15">
          <cell r="C15">
            <v>6365</v>
          </cell>
          <cell r="D15">
            <v>9824</v>
          </cell>
          <cell r="E15">
            <v>5779</v>
          </cell>
          <cell r="F15">
            <v>7790</v>
          </cell>
          <cell r="G15">
            <v>5201</v>
          </cell>
          <cell r="H15">
            <v>2905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8">
          <cell r="C18">
            <v>80493092.3882099</v>
          </cell>
          <cell r="D18">
            <v>119089072.754788</v>
          </cell>
          <cell r="E18">
            <v>131407647.769309</v>
          </cell>
          <cell r="F18">
            <v>147885532.814373</v>
          </cell>
          <cell r="G18">
            <v>127926788.132262</v>
          </cell>
          <cell r="H18">
            <v>132191014.403337</v>
          </cell>
          <cell r="I18">
            <v>166757115.903943</v>
          </cell>
          <cell r="J18">
            <v>161377854.10059</v>
          </cell>
          <cell r="K18">
            <v>160880813.862657</v>
          </cell>
          <cell r="L18">
            <v>149498436.887819</v>
          </cell>
          <cell r="M18">
            <v>154481718.117413</v>
          </cell>
          <cell r="N18">
            <v>86489221.9910386</v>
          </cell>
        </row>
        <row r="19">
          <cell r="C19">
            <v>87962394</v>
          </cell>
          <cell r="D19">
            <v>148640998</v>
          </cell>
          <cell r="E19">
            <v>95808740</v>
          </cell>
          <cell r="F19">
            <v>115730945</v>
          </cell>
          <cell r="G19">
            <v>71404757</v>
          </cell>
          <cell r="H19">
            <v>44296993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2">
          <cell r="C22">
            <v>2071988.2707281</v>
          </cell>
          <cell r="D22">
            <v>3065494.8716562</v>
          </cell>
          <cell r="E22">
            <v>3382589.69538433</v>
          </cell>
          <cell r="F22">
            <v>3806750.1236496</v>
          </cell>
          <cell r="G22">
            <v>3292988.21374131</v>
          </cell>
          <cell r="H22">
            <v>3402754.48753268</v>
          </cell>
          <cell r="I22">
            <v>4292527.19658247</v>
          </cell>
          <cell r="J22">
            <v>4154058.57733787</v>
          </cell>
          <cell r="K22">
            <v>4141264.16837033</v>
          </cell>
          <cell r="L22">
            <v>3848268.19958426</v>
          </cell>
          <cell r="M22">
            <v>3976543.80623707</v>
          </cell>
          <cell r="N22">
            <v>2226335.80339472</v>
          </cell>
        </row>
        <row r="23">
          <cell r="C23">
            <v>2304945.05</v>
          </cell>
          <cell r="D23">
            <v>3779574.67</v>
          </cell>
          <cell r="E23">
            <v>2243082.76</v>
          </cell>
          <cell r="F23">
            <v>3000516.43</v>
          </cell>
          <cell r="G23">
            <v>2098469.2321</v>
          </cell>
          <cell r="H23">
            <v>1098691.8357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30"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60265.923414952</v>
          </cell>
          <cell r="H30">
            <v>52989.6232218248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5569</v>
          </cell>
          <cell r="H31">
            <v>3456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1563</v>
          </cell>
          <cell r="H32">
            <v>1005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24581134</v>
          </cell>
          <cell r="H33">
            <v>16482001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635264.5292</v>
          </cell>
          <cell r="H34">
            <v>380260.5047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8"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105724.500133215</v>
          </cell>
          <cell r="H38">
            <v>39211.2494320044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5984</v>
          </cell>
          <cell r="H39">
            <v>2836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1837</v>
          </cell>
          <cell r="H40">
            <v>886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25655595</v>
          </cell>
          <cell r="H41">
            <v>14310210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766748.3629</v>
          </cell>
          <cell r="H42">
            <v>347084.5159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6"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54454.5906640612</v>
          </cell>
          <cell r="H46">
            <v>22309.7621460236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3603</v>
          </cell>
          <cell r="H47">
            <v>1598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1074</v>
          </cell>
          <cell r="H48">
            <v>528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13595716</v>
          </cell>
          <cell r="H49">
            <v>7421152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407799.909</v>
          </cell>
          <cell r="H50">
            <v>191132.8153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4"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48725.1896029472</v>
          </cell>
          <cell r="H54">
            <v>29961.5151456268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</row>
        <row r="55"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1803</v>
          </cell>
          <cell r="H55">
            <v>986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</row>
        <row r="56"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727</v>
          </cell>
          <cell r="H56">
            <v>486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7572312</v>
          </cell>
          <cell r="H57">
            <v>6083630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</row>
        <row r="58"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288656.431</v>
          </cell>
          <cell r="H58">
            <v>180213.9998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</row>
        <row r="62"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58803.505650204</v>
          </cell>
          <cell r="H62">
            <v>33708.680535336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</row>
        <row r="63"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7971</v>
          </cell>
          <cell r="H63">
            <v>3105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</row>
        <row r="64"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1758</v>
          </cell>
          <cell r="H64">
            <v>895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</row>
        <row r="65"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36922189</v>
          </cell>
          <cell r="H65">
            <v>18659291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</row>
        <row r="66"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797308.5406</v>
          </cell>
          <cell r="H66">
            <v>388343.4578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</row>
      </sheetData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</row>
        <row r="7">
          <cell r="B7" t="str">
            <v>实际利润（人民币）</v>
          </cell>
        </row>
        <row r="8">
          <cell r="B8" t="str">
            <v>目标完成进度</v>
          </cell>
        </row>
        <row r="10">
          <cell r="B10" t="str">
            <v>销量目标</v>
          </cell>
        </row>
        <row r="11">
          <cell r="B11" t="str">
            <v>销量完成</v>
          </cell>
        </row>
        <row r="12">
          <cell r="B12" t="str">
            <v>销量完成进度</v>
          </cell>
        </row>
        <row r="14">
          <cell r="B14" t="str">
            <v>实销目标</v>
          </cell>
        </row>
        <row r="14">
          <cell r="O14">
            <v>134432.16899354</v>
          </cell>
        </row>
        <row r="15">
          <cell r="B15" t="str">
            <v>实销完成</v>
          </cell>
        </row>
        <row r="15">
          <cell r="O15">
            <v>47317</v>
          </cell>
        </row>
        <row r="16">
          <cell r="B16" t="str">
            <v>实销完成进度</v>
          </cell>
        </row>
        <row r="18">
          <cell r="B18" t="str">
            <v>GMV目标</v>
          </cell>
        </row>
        <row r="18">
          <cell r="O18">
            <v>1702896506.80041</v>
          </cell>
        </row>
        <row r="19">
          <cell r="B19" t="str">
            <v>GMV完成</v>
          </cell>
        </row>
        <row r="19">
          <cell r="O19">
            <v>774109270</v>
          </cell>
        </row>
        <row r="20">
          <cell r="B20" t="str">
            <v>GMV完成进度</v>
          </cell>
        </row>
        <row r="22">
          <cell r="B22" t="str">
            <v>GSV目标</v>
          </cell>
        </row>
        <row r="22">
          <cell r="O22">
            <v>43834588.5798161</v>
          </cell>
        </row>
        <row r="23">
          <cell r="B23" t="str">
            <v>GSV完成</v>
          </cell>
        </row>
        <row r="23">
          <cell r="O23">
            <v>18628383.6062</v>
          </cell>
        </row>
        <row r="24">
          <cell r="B24" t="str">
            <v>GSV完成进度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0.66585209409716</v>
          </cell>
          <cell r="H26">
            <v>0.704748438317134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0.699196477678791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0.720858403529884</v>
          </cell>
          <cell r="H27">
            <v>0.682831149319756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0.723886606600999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0.113259281343119</v>
          </cell>
          <cell r="H28">
            <v>0.119822865845662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0.115690093971917</v>
          </cell>
        </row>
        <row r="30">
          <cell r="A30" t="str">
            <v>LXTF1店</v>
          </cell>
          <cell r="B30" t="str">
            <v>实际利润（人民币）</v>
          </cell>
        </row>
        <row r="31">
          <cell r="B31" t="str">
            <v>销量完成</v>
          </cell>
        </row>
        <row r="32">
          <cell r="B32" t="str">
            <v>实销完成</v>
          </cell>
        </row>
        <row r="33">
          <cell r="B33" t="str">
            <v>GMV完成</v>
          </cell>
        </row>
        <row r="34">
          <cell r="B34" t="str">
            <v>GSV完成</v>
          </cell>
        </row>
        <row r="35">
          <cell r="B35" t="str">
            <v>退款率</v>
          </cell>
        </row>
        <row r="36">
          <cell r="B36" t="str">
            <v>退货率</v>
          </cell>
        </row>
        <row r="37">
          <cell r="B37" t="str">
            <v>利润率</v>
          </cell>
        </row>
        <row r="38">
          <cell r="A38" t="str">
            <v>LXTF2店</v>
          </cell>
          <cell r="B38" t="str">
            <v>实际利润（人民币）</v>
          </cell>
        </row>
        <row r="39">
          <cell r="B39" t="str">
            <v>销量完成</v>
          </cell>
        </row>
        <row r="40">
          <cell r="B40" t="str">
            <v>实销完成</v>
          </cell>
        </row>
        <row r="41">
          <cell r="B41" t="str">
            <v>GMV完成</v>
          </cell>
        </row>
        <row r="42">
          <cell r="B42" t="str">
            <v>GSV完成</v>
          </cell>
        </row>
        <row r="43">
          <cell r="B43" t="str">
            <v>退款率</v>
          </cell>
        </row>
        <row r="44">
          <cell r="B44" t="str">
            <v>退货率</v>
          </cell>
        </row>
        <row r="45">
          <cell r="B45" t="str">
            <v>利润率</v>
          </cell>
        </row>
        <row r="46">
          <cell r="A46" t="str">
            <v>LXTF4店</v>
          </cell>
          <cell r="B46" t="str">
            <v>实际利润（人民币）</v>
          </cell>
        </row>
        <row r="47">
          <cell r="B47" t="str">
            <v>销量完成</v>
          </cell>
        </row>
        <row r="48">
          <cell r="B48" t="str">
            <v>实销完成</v>
          </cell>
        </row>
        <row r="49">
          <cell r="B49" t="str">
            <v>GMV完成</v>
          </cell>
        </row>
        <row r="50">
          <cell r="B50" t="str">
            <v>GSV完成</v>
          </cell>
        </row>
        <row r="51">
          <cell r="B51" t="str">
            <v>退款率</v>
          </cell>
        </row>
        <row r="52">
          <cell r="B52" t="str">
            <v>退货率</v>
          </cell>
        </row>
        <row r="53">
          <cell r="B53" t="str">
            <v>利润率</v>
          </cell>
        </row>
        <row r="54">
          <cell r="A54" t="str">
            <v>MYTF1店</v>
          </cell>
          <cell r="B54" t="str">
            <v>实际利润（人民币）</v>
          </cell>
        </row>
        <row r="55">
          <cell r="B55" t="str">
            <v>销量完成</v>
          </cell>
        </row>
        <row r="56">
          <cell r="B56" t="str">
            <v>实销完成</v>
          </cell>
        </row>
        <row r="57">
          <cell r="B57" t="str">
            <v>GMV完成</v>
          </cell>
        </row>
        <row r="58">
          <cell r="B58" t="str">
            <v>GSV完成</v>
          </cell>
        </row>
        <row r="59">
          <cell r="B59" t="str">
            <v>退款率</v>
          </cell>
        </row>
        <row r="60">
          <cell r="B60" t="str">
            <v>退货率</v>
          </cell>
        </row>
        <row r="61">
          <cell r="B61" t="str">
            <v>利润率</v>
          </cell>
        </row>
        <row r="62">
          <cell r="A62" t="str">
            <v>Z-NZTF1店</v>
          </cell>
          <cell r="B62" t="str">
            <v>实际利润（人民币）</v>
          </cell>
        </row>
        <row r="63">
          <cell r="B63" t="str">
            <v>销量完成</v>
          </cell>
        </row>
        <row r="64">
          <cell r="B64" t="str">
            <v>实销完成</v>
          </cell>
        </row>
        <row r="65">
          <cell r="B65" t="str">
            <v>GMV完成</v>
          </cell>
        </row>
        <row r="66">
          <cell r="B66" t="str">
            <v>GSV完成</v>
          </cell>
        </row>
        <row r="67">
          <cell r="B67" t="str">
            <v>退款率</v>
          </cell>
        </row>
        <row r="68">
          <cell r="B68" t="str">
            <v>退货率</v>
          </cell>
        </row>
        <row r="69">
          <cell r="B69" t="str">
            <v>利润率</v>
          </cell>
        </row>
        <row r="70">
          <cell r="A70" t="str">
            <v>新店1</v>
          </cell>
          <cell r="B70" t="str">
            <v>实际利润（人民币）</v>
          </cell>
        </row>
        <row r="71">
          <cell r="B71" t="str">
            <v>销量完成</v>
          </cell>
        </row>
        <row r="72">
          <cell r="B72" t="str">
            <v>实销完成</v>
          </cell>
        </row>
        <row r="73">
          <cell r="B73" t="str">
            <v>GMV完成</v>
          </cell>
        </row>
        <row r="74">
          <cell r="B74" t="str">
            <v>GSV完成</v>
          </cell>
        </row>
        <row r="75">
          <cell r="B75" t="str">
            <v>退款率</v>
          </cell>
        </row>
        <row r="76">
          <cell r="B76" t="str">
            <v>退货率</v>
          </cell>
        </row>
        <row r="77">
          <cell r="B77" t="str">
            <v>利润率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50110.01743891</v>
          </cell>
          <cell r="H126">
            <v>32496.529391726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367635.896830636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1662</v>
          </cell>
          <cell r="H127">
            <v>1102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16140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687</v>
          </cell>
          <cell r="H128">
            <v>468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6129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6966652</v>
          </cell>
          <cell r="H129">
            <v>5552573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66422949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271213.2648</v>
          </cell>
          <cell r="H130">
            <v>172890.2834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2252935.1382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0.486627695771225</v>
          </cell>
          <cell r="H131">
            <v>0.389212090052666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0.0339180233957996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0.586642599277978</v>
          </cell>
          <cell r="H132">
            <v>0.575317604355717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0.620260223048327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0.184762413725827</v>
          </cell>
          <cell r="H133">
            <v>0.187960414851897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0.163180861533529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目标拆解--郑志远"/>
      <sheetName val="2026目标拆解--何欢洁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593421.46</v>
          </cell>
          <cell r="H7">
            <v>325038.63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3437257.96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1.09246608580648</v>
          </cell>
          <cell r="H8">
            <v>0.535748473942456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0.392593009981998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26753</v>
          </cell>
          <cell r="H11">
            <v>15887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171643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0.743138888888889</v>
          </cell>
          <cell r="H12">
            <v>0.395130201208745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0.295491950033742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9282</v>
          </cell>
          <cell r="H15">
            <v>5500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60846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0.831720430107527</v>
          </cell>
          <cell r="H16">
            <v>0.441264841541795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0.337901326548428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11545368.1632</v>
          </cell>
          <cell r="H19">
            <v>6659288.4732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67577309.1834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0.922448718696069</v>
          </cell>
          <cell r="H20">
            <v>0.476369032961964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0.335043434341862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3503371.5464</v>
          </cell>
          <cell r="H23">
            <v>1930982.2827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21876883.9391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0.874723240851709</v>
          </cell>
          <cell r="H24">
            <v>0.431662184320827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0.33895004922076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0.30344390034843</v>
          </cell>
          <cell r="H26">
            <v>0.289968258691773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0.323731208055765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0.653048256270325</v>
          </cell>
          <cell r="H27">
            <v>0.653804997796941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0.645508409897287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0.16938581938584</v>
          </cell>
          <cell r="H28">
            <v>0.168328126525073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0.157118260972107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213687.24</v>
          </cell>
          <cell r="H30">
            <v>102754.41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1874915.07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10453</v>
          </cell>
          <cell r="H31">
            <v>5785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82089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3602</v>
          </cell>
          <cell r="H32">
            <v>1927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30081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4439731.0488</v>
          </cell>
          <cell r="H33">
            <v>2511111.222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33826837.7889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1407371.462</v>
          </cell>
          <cell r="H34">
            <v>699411.4057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11088070.4977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0.316994756333358</v>
          </cell>
          <cell r="H35">
            <v>0.278526653687186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0.327789152710528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0.655409930163589</v>
          </cell>
          <cell r="H36">
            <v>0.666897147796024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0.633556262105763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0.15183428524004</v>
          </cell>
          <cell r="H37">
            <v>0.1469155480774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0.169092996873434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95805.82</v>
          </cell>
          <cell r="H38">
            <v>77964.2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651335.88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6417</v>
          </cell>
          <cell r="H39">
            <v>4008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38083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1916</v>
          </cell>
          <cell r="H40">
            <v>1324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12514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2954093.3256</v>
          </cell>
          <cell r="H41">
            <v>1634730.252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14329032.7986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702420.3795</v>
          </cell>
          <cell r="H42">
            <v>458423.5943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4184008.9538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0.237778669147947</v>
          </cell>
          <cell r="H43">
            <v>0.280427669176089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0.291995210884631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0.701418108150226</v>
          </cell>
          <cell r="H44">
            <v>0.669660678642715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0.671401937872542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0.136393850173022</v>
          </cell>
          <cell r="H45">
            <v>0.170070216649841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0.155672678331255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267227.4</v>
          </cell>
          <cell r="H46">
            <v>131378.65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764491.77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8516</v>
          </cell>
          <cell r="H47">
            <v>5471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34272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3226</v>
          </cell>
          <cell r="H48">
            <v>1994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11970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3625780.1448</v>
          </cell>
          <cell r="H49">
            <v>2274149.9952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13376634.4806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1213786.7552</v>
          </cell>
          <cell r="H50">
            <v>692555.2367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4218986.3419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0.334765679860865</v>
          </cell>
          <cell r="H51">
            <v>0.304533666715811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0.315399688017098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0.621183654297792</v>
          </cell>
          <cell r="H52">
            <v>0.635532809358435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0.650735294117647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0.22016008895728</v>
          </cell>
          <cell r="H53">
            <v>0.189701330721307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0.181202712700823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16701</v>
          </cell>
          <cell r="H54">
            <v>12941.37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146515.24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1367</v>
          </cell>
          <cell r="H55">
            <v>623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17199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538</v>
          </cell>
          <cell r="H56">
            <v>255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6281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525763.644</v>
          </cell>
          <cell r="H57">
            <v>239297.004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6044804.1153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179792.9497</v>
          </cell>
          <cell r="H58">
            <v>80592.046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2385818.1457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0.341965352210622</v>
          </cell>
          <cell r="H59">
            <v>0.336786690400854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0.394689075144926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0.606437454279444</v>
          </cell>
          <cell r="H60">
            <v>0.590690208667737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0.634804349090063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0.0928901830014306</v>
          </cell>
          <cell r="H61">
            <v>0.160578749917827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0.0614109001828437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>
        <row r="3">
          <cell r="C3">
            <v>390688.84</v>
          </cell>
          <cell r="D3">
            <v>444406.63</v>
          </cell>
          <cell r="E3">
            <v>359029.21</v>
          </cell>
          <cell r="F3">
            <v>364348.74</v>
          </cell>
          <cell r="G3">
            <v>213687.24</v>
          </cell>
          <cell r="H3">
            <v>102754.41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</row>
        <row r="4">
          <cell r="C4">
            <v>14746</v>
          </cell>
          <cell r="D4">
            <v>17117</v>
          </cell>
          <cell r="E4">
            <v>16800</v>
          </cell>
          <cell r="F4">
            <v>17188</v>
          </cell>
          <cell r="G4">
            <v>10453</v>
          </cell>
          <cell r="H4">
            <v>5785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5">
          <cell r="C5">
            <v>5079</v>
          </cell>
          <cell r="D5">
            <v>6543</v>
          </cell>
          <cell r="E5">
            <v>6518</v>
          </cell>
          <cell r="F5">
            <v>6412</v>
          </cell>
          <cell r="G5">
            <v>3602</v>
          </cell>
          <cell r="H5">
            <v>1927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>
            <v>5667565.2858</v>
          </cell>
          <cell r="D6">
            <v>7760834.8667</v>
          </cell>
          <cell r="E6">
            <v>6430144.456</v>
          </cell>
          <cell r="F6">
            <v>7017450.9096</v>
          </cell>
          <cell r="G6">
            <v>4439731.0488</v>
          </cell>
          <cell r="H6">
            <v>2511111.222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8">
          <cell r="C8">
            <v>98745.23</v>
          </cell>
          <cell r="D8">
            <v>106782.42</v>
          </cell>
          <cell r="E8">
            <v>122622.34</v>
          </cell>
          <cell r="F8">
            <v>149415.87</v>
          </cell>
          <cell r="G8">
            <v>95805.82</v>
          </cell>
          <cell r="H8">
            <v>77964.2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>
            <v>6740</v>
          </cell>
          <cell r="D9">
            <v>6619</v>
          </cell>
          <cell r="E9">
            <v>7334</v>
          </cell>
          <cell r="F9">
            <v>6965</v>
          </cell>
          <cell r="G9">
            <v>6417</v>
          </cell>
          <cell r="H9">
            <v>4008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>
            <v>2322</v>
          </cell>
          <cell r="D10">
            <v>1989</v>
          </cell>
          <cell r="E10">
            <v>2504</v>
          </cell>
          <cell r="F10">
            <v>2459</v>
          </cell>
          <cell r="G10">
            <v>1916</v>
          </cell>
          <cell r="H10">
            <v>1324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2158725.2247</v>
          </cell>
          <cell r="D11">
            <v>2221214.7587</v>
          </cell>
          <cell r="E11">
            <v>2614149.1856</v>
          </cell>
          <cell r="F11">
            <v>2746120.052</v>
          </cell>
          <cell r="G11">
            <v>2954093.3256</v>
          </cell>
          <cell r="H11">
            <v>1634730.252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3">
          <cell r="C13">
            <v>14020.65</v>
          </cell>
          <cell r="D13">
            <v>66698.69</v>
          </cell>
          <cell r="E13">
            <v>115284.82</v>
          </cell>
          <cell r="F13">
            <v>169881.56</v>
          </cell>
          <cell r="G13">
            <v>267227.4</v>
          </cell>
          <cell r="H13">
            <v>131378.65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2236</v>
          </cell>
          <cell r="D14">
            <v>4852</v>
          </cell>
          <cell r="E14">
            <v>6178</v>
          </cell>
          <cell r="F14">
            <v>7019</v>
          </cell>
          <cell r="G14">
            <v>8516</v>
          </cell>
          <cell r="H14">
            <v>5471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621</v>
          </cell>
          <cell r="D15">
            <v>1541</v>
          </cell>
          <cell r="E15">
            <v>2178</v>
          </cell>
          <cell r="F15">
            <v>2410</v>
          </cell>
          <cell r="G15">
            <v>3226</v>
          </cell>
          <cell r="H15">
            <v>1994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715121.5005</v>
          </cell>
          <cell r="D16">
            <v>1585053.0701</v>
          </cell>
          <cell r="E16">
            <v>2306985.484</v>
          </cell>
          <cell r="F16">
            <v>2869544.286</v>
          </cell>
          <cell r="G16">
            <v>3625780.1448</v>
          </cell>
          <cell r="H16">
            <v>2274149.9952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8">
          <cell r="C18">
            <v>69582.72</v>
          </cell>
          <cell r="D18">
            <v>29149.31</v>
          </cell>
          <cell r="E18">
            <v>-4952.39</v>
          </cell>
          <cell r="F18">
            <v>23093.23</v>
          </cell>
          <cell r="G18">
            <v>16701</v>
          </cell>
          <cell r="H18">
            <v>12941.37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6138</v>
          </cell>
          <cell r="D19">
            <v>3931</v>
          </cell>
          <cell r="E19">
            <v>2500</v>
          </cell>
          <cell r="F19">
            <v>2640</v>
          </cell>
          <cell r="G19">
            <v>1367</v>
          </cell>
          <cell r="H19">
            <v>623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2149</v>
          </cell>
          <cell r="D20">
            <v>1510</v>
          </cell>
          <cell r="E20">
            <v>933</v>
          </cell>
          <cell r="F20">
            <v>896</v>
          </cell>
          <cell r="G20">
            <v>538</v>
          </cell>
          <cell r="H20">
            <v>255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1986717.942</v>
          </cell>
          <cell r="D21">
            <v>1346880.8889</v>
          </cell>
          <cell r="E21">
            <v>917288.5728</v>
          </cell>
          <cell r="F21">
            <v>1028856.0636</v>
          </cell>
          <cell r="G21">
            <v>525763.644</v>
          </cell>
          <cell r="H21">
            <v>239297.004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</sheetData>
      <sheetData sheetId="3"/>
      <sheetData sheetId="4"/>
      <sheetData sheetId="5"/>
      <sheetData sheetId="6">
        <row r="4">
          <cell r="B4">
            <v>329446.831260062</v>
          </cell>
          <cell r="C4">
            <v>370713.476418571</v>
          </cell>
          <cell r="D4">
            <v>348418.322788257</v>
          </cell>
          <cell r="E4">
            <v>325684.300298979</v>
          </cell>
          <cell r="F4">
            <v>340082.4</v>
          </cell>
          <cell r="G4">
            <v>373138.6176</v>
          </cell>
          <cell r="H4">
            <v>530830.2608</v>
          </cell>
          <cell r="I4">
            <v>611940</v>
          </cell>
          <cell r="J4">
            <v>655478.88</v>
          </cell>
          <cell r="K4">
            <v>680164.8</v>
          </cell>
          <cell r="L4">
            <v>656555.2</v>
          </cell>
          <cell r="M4">
            <v>468199.2</v>
          </cell>
        </row>
        <row r="5">
          <cell r="B5">
            <v>21252</v>
          </cell>
          <cell r="C5">
            <v>23560</v>
          </cell>
          <cell r="D5">
            <v>22500</v>
          </cell>
          <cell r="E5">
            <v>21700</v>
          </cell>
          <cell r="F5">
            <v>22500</v>
          </cell>
          <cell r="G5">
            <v>24707</v>
          </cell>
          <cell r="H5">
            <v>35123</v>
          </cell>
          <cell r="I5">
            <v>40500</v>
          </cell>
          <cell r="J5">
            <v>43400</v>
          </cell>
          <cell r="K5">
            <v>45000</v>
          </cell>
          <cell r="L5">
            <v>43400</v>
          </cell>
          <cell r="M5">
            <v>31000</v>
          </cell>
        </row>
        <row r="6">
          <cell r="B6">
            <v>6588.12</v>
          </cell>
          <cell r="C6">
            <v>7303.6</v>
          </cell>
          <cell r="D6">
            <v>6975</v>
          </cell>
          <cell r="E6">
            <v>6727</v>
          </cell>
          <cell r="F6">
            <v>6975</v>
          </cell>
          <cell r="G6">
            <v>7659.17</v>
          </cell>
          <cell r="H6">
            <v>10888.13</v>
          </cell>
          <cell r="I6">
            <v>12555</v>
          </cell>
          <cell r="J6">
            <v>13454</v>
          </cell>
          <cell r="K6">
            <v>13950</v>
          </cell>
          <cell r="L6">
            <v>13454</v>
          </cell>
          <cell r="M6">
            <v>9610</v>
          </cell>
        </row>
        <row r="8">
          <cell r="B8">
            <v>92836800</v>
          </cell>
          <cell r="C8">
            <v>103044000</v>
          </cell>
          <cell r="D8">
            <v>98280000</v>
          </cell>
          <cell r="E8">
            <v>94550000</v>
          </cell>
          <cell r="F8">
            <v>97950000</v>
          </cell>
          <cell r="G8">
            <v>107470800</v>
          </cell>
          <cell r="H8">
            <v>152888900</v>
          </cell>
          <cell r="I8">
            <v>176250000</v>
          </cell>
          <cell r="J8">
            <v>188790000</v>
          </cell>
          <cell r="K8">
            <v>195900000</v>
          </cell>
          <cell r="L8">
            <v>189100000</v>
          </cell>
          <cell r="M8">
            <v>134850000</v>
          </cell>
        </row>
      </sheetData>
      <sheetData sheetId="7">
        <row r="4">
          <cell r="B4">
            <v>116176.256</v>
          </cell>
          <cell r="C4">
            <v>115071.008</v>
          </cell>
          <cell r="D4">
            <v>101493.12</v>
          </cell>
          <cell r="E4">
            <v>138328.448</v>
          </cell>
          <cell r="F4">
            <v>203112</v>
          </cell>
          <cell r="G4">
            <v>233561.44</v>
          </cell>
          <cell r="H4">
            <v>280919.52</v>
          </cell>
          <cell r="I4">
            <v>360393.6</v>
          </cell>
          <cell r="J4">
            <v>463893.92</v>
          </cell>
          <cell r="K4">
            <v>448929.6</v>
          </cell>
          <cell r="L4">
            <v>369177.76</v>
          </cell>
          <cell r="M4">
            <v>233561.44</v>
          </cell>
        </row>
        <row r="5">
          <cell r="B5">
            <v>7840</v>
          </cell>
          <cell r="C5">
            <v>8060</v>
          </cell>
          <cell r="D5">
            <v>7200</v>
          </cell>
          <cell r="E5">
            <v>10230</v>
          </cell>
          <cell r="F5">
            <v>13500</v>
          </cell>
          <cell r="G5">
            <v>15500</v>
          </cell>
          <cell r="H5">
            <v>18600</v>
          </cell>
          <cell r="I5">
            <v>24000</v>
          </cell>
          <cell r="J5">
            <v>31000</v>
          </cell>
          <cell r="K5">
            <v>30000</v>
          </cell>
          <cell r="L5">
            <v>24800</v>
          </cell>
          <cell r="M5">
            <v>15500</v>
          </cell>
        </row>
        <row r="6">
          <cell r="B6">
            <v>2430.4</v>
          </cell>
          <cell r="C6">
            <v>2498.6</v>
          </cell>
          <cell r="D6">
            <v>2232</v>
          </cell>
          <cell r="E6">
            <v>3171.3</v>
          </cell>
          <cell r="F6">
            <v>4185</v>
          </cell>
          <cell r="G6">
            <v>4805</v>
          </cell>
          <cell r="H6">
            <v>5766</v>
          </cell>
          <cell r="I6">
            <v>7440</v>
          </cell>
          <cell r="J6">
            <v>9610</v>
          </cell>
          <cell r="K6">
            <v>9300</v>
          </cell>
          <cell r="L6">
            <v>7688</v>
          </cell>
          <cell r="M6">
            <v>4805</v>
          </cell>
        </row>
        <row r="8">
          <cell r="B8">
            <v>32732000</v>
          </cell>
          <cell r="C8">
            <v>34255000</v>
          </cell>
          <cell r="D8">
            <v>30780000</v>
          </cell>
          <cell r="E8">
            <v>44547000</v>
          </cell>
          <cell r="F8">
            <v>58500000</v>
          </cell>
          <cell r="G8">
            <v>67270000</v>
          </cell>
          <cell r="H8">
            <v>80910000</v>
          </cell>
          <cell r="I8">
            <v>103800000</v>
          </cell>
          <cell r="J8">
            <v>133610000</v>
          </cell>
          <cell r="K8">
            <v>129300000</v>
          </cell>
          <cell r="L8">
            <v>106330000</v>
          </cell>
          <cell r="M8">
            <v>67270000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陈欣诺-男装"/>
      <sheetName val="林梓蕾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2">
          <cell r="B32">
            <v>7901.99163571725</v>
          </cell>
          <cell r="C32">
            <v>78965.8541048761</v>
          </cell>
          <cell r="D32">
            <v>75437.0436981077</v>
          </cell>
          <cell r="E32">
            <v>31847.31</v>
          </cell>
          <cell r="F32">
            <v>33154.43</v>
          </cell>
          <cell r="G32">
            <v>92959.43</v>
          </cell>
        </row>
        <row r="33">
          <cell r="B33">
            <v>34375.65</v>
          </cell>
          <cell r="C33">
            <v>73025.06</v>
          </cell>
          <cell r="D33">
            <v>59613.57</v>
          </cell>
          <cell r="E33">
            <v>63873.1</v>
          </cell>
          <cell r="F33">
            <v>95210.94</v>
          </cell>
          <cell r="G33">
            <v>84096.77</v>
          </cell>
        </row>
        <row r="34">
          <cell r="B34">
            <v>68339.37</v>
          </cell>
          <cell r="C34">
            <v>93782.97</v>
          </cell>
          <cell r="D34">
            <v>65115.22</v>
          </cell>
          <cell r="E34">
            <v>84033.18</v>
          </cell>
          <cell r="F34">
            <v>87149.71</v>
          </cell>
          <cell r="G34">
            <v>98996.89</v>
          </cell>
        </row>
        <row r="35">
          <cell r="B35">
            <v>73642.39</v>
          </cell>
          <cell r="C35">
            <v>95308.4</v>
          </cell>
          <cell r="D35">
            <v>51661.22</v>
          </cell>
          <cell r="E35">
            <v>102866.91</v>
          </cell>
          <cell r="F35">
            <v>95706.53</v>
          </cell>
        </row>
        <row r="36">
          <cell r="C36">
            <v>76758.44</v>
          </cell>
        </row>
        <row r="36">
          <cell r="E36">
            <v>72224.27</v>
          </cell>
        </row>
        <row r="44">
          <cell r="B44">
            <v>267032.554098361</v>
          </cell>
          <cell r="C44">
            <v>454472.298360656</v>
          </cell>
          <cell r="D44">
            <v>356490.491803279</v>
          </cell>
          <cell r="E44">
            <v>373135.56557377</v>
          </cell>
          <cell r="F44">
            <v>335343.491803279</v>
          </cell>
          <cell r="G44">
            <v>291232.549180328</v>
          </cell>
          <cell r="H44">
            <v>359127.885245902</v>
          </cell>
          <cell r="I44">
            <v>345231.147540984</v>
          </cell>
          <cell r="J44">
            <v>327791.967213115</v>
          </cell>
          <cell r="K44">
            <v>319748.852459016</v>
          </cell>
          <cell r="L44">
            <v>330407.147540984</v>
          </cell>
          <cell r="M44">
            <v>214260.819672131</v>
          </cell>
        </row>
        <row r="45">
          <cell r="F45">
            <v>48024.39</v>
          </cell>
          <cell r="G45">
            <v>86148.62</v>
          </cell>
        </row>
        <row r="46">
          <cell r="F46">
            <v>109001.18</v>
          </cell>
          <cell r="G46">
            <v>90013.7</v>
          </cell>
        </row>
        <row r="47">
          <cell r="F47">
            <v>108212.53</v>
          </cell>
          <cell r="G47">
            <v>90032.49</v>
          </cell>
        </row>
        <row r="48">
          <cell r="F48">
            <v>102812.84</v>
          </cell>
        </row>
        <row r="58">
          <cell r="B58" t="str">
            <v>2月</v>
          </cell>
          <cell r="C58" t="str">
            <v>3月</v>
          </cell>
          <cell r="D58" t="str">
            <v>4月</v>
          </cell>
          <cell r="E58" t="str">
            <v>5月</v>
          </cell>
          <cell r="F58" t="str">
            <v>6月</v>
          </cell>
          <cell r="G58" t="str">
            <v>7月</v>
          </cell>
          <cell r="H58" t="str">
            <v>8月</v>
          </cell>
          <cell r="I58" t="str">
            <v>9月</v>
          </cell>
          <cell r="J58" t="str">
            <v>10月</v>
          </cell>
          <cell r="K58" t="str">
            <v>11月</v>
          </cell>
          <cell r="L58" t="str">
            <v>12月</v>
          </cell>
          <cell r="M58" t="str">
            <v>1月</v>
          </cell>
        </row>
        <row r="59">
          <cell r="B59">
            <v>372843</v>
          </cell>
          <cell r="C59">
            <v>566214.491803279</v>
          </cell>
          <cell r="D59">
            <v>425981.18852459</v>
          </cell>
          <cell r="E59">
            <v>428093.165983607</v>
          </cell>
          <cell r="F59">
            <v>438328.647540984</v>
          </cell>
          <cell r="G59">
            <v>376625.606557377</v>
          </cell>
          <cell r="H59">
            <v>516638.599385246</v>
          </cell>
          <cell r="I59">
            <v>499972.838114754</v>
          </cell>
          <cell r="J59">
            <v>490032.5</v>
          </cell>
          <cell r="K59">
            <v>474225</v>
          </cell>
          <cell r="L59">
            <v>490032.5</v>
          </cell>
          <cell r="M59">
            <v>318392.868852459</v>
          </cell>
        </row>
        <row r="60">
          <cell r="B60">
            <v>22786.22</v>
          </cell>
          <cell r="C60">
            <v>120856.31</v>
          </cell>
          <cell r="D60">
            <v>114083.09</v>
          </cell>
          <cell r="E60">
            <v>92574.56</v>
          </cell>
        </row>
        <row r="60">
          <cell r="G60">
            <v>185876.7</v>
          </cell>
        </row>
        <row r="61">
          <cell r="B61">
            <v>57252.98</v>
          </cell>
          <cell r="C61">
            <v>126071.82</v>
          </cell>
          <cell r="D61">
            <v>90908.16</v>
          </cell>
          <cell r="E61">
            <v>133011.74</v>
          </cell>
        </row>
        <row r="61">
          <cell r="G61">
            <v>163961.13</v>
          </cell>
        </row>
        <row r="62">
          <cell r="B62">
            <v>87628.76</v>
          </cell>
          <cell r="C62">
            <v>171781.7</v>
          </cell>
          <cell r="D62">
            <v>105113.29</v>
          </cell>
          <cell r="E62">
            <v>85294.94</v>
          </cell>
        </row>
        <row r="62">
          <cell r="G62">
            <v>140221.74</v>
          </cell>
        </row>
        <row r="63">
          <cell r="B63">
            <v>113025.62</v>
          </cell>
          <cell r="C63">
            <v>161987.51</v>
          </cell>
          <cell r="D63">
            <v>85159.25</v>
          </cell>
          <cell r="E63">
            <v>107651.59</v>
          </cell>
        </row>
        <row r="71">
          <cell r="B71" t="str">
            <v>Q1</v>
          </cell>
        </row>
        <row r="71">
          <cell r="E71" t="str">
            <v>Q2</v>
          </cell>
        </row>
        <row r="71">
          <cell r="H71" t="str">
            <v>Q3</v>
          </cell>
        </row>
        <row r="71">
          <cell r="K71" t="str">
            <v>Q4</v>
          </cell>
        </row>
        <row r="72">
          <cell r="B72" t="str">
            <v>2月</v>
          </cell>
          <cell r="C72" t="str">
            <v>3月</v>
          </cell>
          <cell r="D72" t="str">
            <v>4月</v>
          </cell>
          <cell r="E72" t="str">
            <v>5月</v>
          </cell>
        </row>
        <row r="72">
          <cell r="G72" t="str">
            <v>7月</v>
          </cell>
          <cell r="H72" t="str">
            <v>8月</v>
          </cell>
          <cell r="I72" t="str">
            <v>9月</v>
          </cell>
          <cell r="J72" t="str">
            <v>10月</v>
          </cell>
          <cell r="K72" t="str">
            <v>11月</v>
          </cell>
          <cell r="L72" t="str">
            <v>12月</v>
          </cell>
          <cell r="M72" t="str">
            <v>1月</v>
          </cell>
        </row>
        <row r="73">
          <cell r="B73">
            <v>278839</v>
          </cell>
          <cell r="C73">
            <v>672748.786885246</v>
          </cell>
          <cell r="D73">
            <v>528274.180327869</v>
          </cell>
          <cell r="E73">
            <v>526052.975409836</v>
          </cell>
        </row>
        <row r="73">
          <cell r="G73">
            <v>451240.573770492</v>
          </cell>
          <cell r="H73">
            <v>540132.311475409</v>
          </cell>
          <cell r="I73">
            <v>525321.147540984</v>
          </cell>
          <cell r="J73">
            <v>507300.262295082</v>
          </cell>
          <cell r="K73">
            <v>494517.049180328</v>
          </cell>
          <cell r="L73">
            <v>507296.196721311</v>
          </cell>
          <cell r="M73">
            <v>361615.508196722</v>
          </cell>
        </row>
        <row r="74">
          <cell r="B74">
            <v>229311.59</v>
          </cell>
          <cell r="C74">
            <v>770766.4</v>
          </cell>
          <cell r="D74">
            <v>149567</v>
          </cell>
          <cell r="E74">
            <v>58296.43</v>
          </cell>
        </row>
        <row r="75">
          <cell r="D75">
            <v>95816.8</v>
          </cell>
          <cell r="E75">
            <v>97059.95</v>
          </cell>
        </row>
        <row r="85">
          <cell r="B85">
            <v>34481</v>
          </cell>
          <cell r="C85">
            <v>86791.2971311476</v>
          </cell>
          <cell r="D85">
            <v>133954.856557377</v>
          </cell>
          <cell r="E85">
            <v>141243.464139344</v>
          </cell>
          <cell r="F85">
            <v>195306.823770492</v>
          </cell>
          <cell r="G85">
            <v>155693.126331967</v>
          </cell>
          <cell r="H85">
            <v>213216.284836066</v>
          </cell>
          <cell r="I85">
            <v>206338.340163934</v>
          </cell>
          <cell r="J85">
            <v>195186.830942623</v>
          </cell>
          <cell r="K85">
            <v>187961.834016393</v>
          </cell>
          <cell r="L85">
            <v>195186.830942623</v>
          </cell>
          <cell r="M85">
            <v>98770.5102459016</v>
          </cell>
        </row>
        <row r="97">
          <cell r="B97">
            <v>249612</v>
          </cell>
          <cell r="C97">
            <v>485112.393442623</v>
          </cell>
          <cell r="D97">
            <v>397534.426229508</v>
          </cell>
          <cell r="E97">
            <v>391039.081967214</v>
          </cell>
          <cell r="F97">
            <v>369194.754098361</v>
          </cell>
          <cell r="G97">
            <v>324188.852459017</v>
          </cell>
          <cell r="H97">
            <v>367365.245901639</v>
          </cell>
          <cell r="I97">
            <v>355514.754098361</v>
          </cell>
          <cell r="J97">
            <v>342618.098360656</v>
          </cell>
          <cell r="K97">
            <v>336998.360655738</v>
          </cell>
          <cell r="L97">
            <v>344526.885245901</v>
          </cell>
          <cell r="M97">
            <v>252862.426229508</v>
          </cell>
        </row>
      </sheetData>
      <sheetData sheetId="1"/>
      <sheetData sheetId="2"/>
      <sheetData sheetId="3"/>
      <sheetData sheetId="4">
        <row r="4">
          <cell r="B4">
            <v>42401820</v>
          </cell>
          <cell r="C4">
            <v>37308500</v>
          </cell>
          <cell r="D4">
            <v>34860000</v>
          </cell>
          <cell r="E4">
            <v>36022000</v>
          </cell>
          <cell r="F4">
            <v>50049000</v>
          </cell>
          <cell r="G4">
            <v>42840450</v>
          </cell>
          <cell r="H4">
            <v>53775700</v>
          </cell>
          <cell r="I4">
            <v>52041000</v>
          </cell>
          <cell r="J4">
            <v>50173500</v>
          </cell>
          <cell r="K4">
            <v>48306000</v>
          </cell>
          <cell r="L4">
            <v>50173500</v>
          </cell>
          <cell r="M4">
            <v>27788400</v>
          </cell>
        </row>
        <row r="5">
          <cell r="B5">
            <v>12989304</v>
          </cell>
          <cell r="C5">
            <v>11906557.5</v>
          </cell>
          <cell r="D5">
            <v>11117850</v>
          </cell>
          <cell r="E5">
            <v>11488445</v>
          </cell>
          <cell r="F5">
            <v>15979575</v>
          </cell>
          <cell r="G5">
            <v>13661986.75</v>
          </cell>
          <cell r="H5">
            <v>17161910</v>
          </cell>
          <cell r="I5">
            <v>16608300</v>
          </cell>
          <cell r="J5">
            <v>16010492.5</v>
          </cell>
          <cell r="K5">
            <v>15413100</v>
          </cell>
          <cell r="L5">
            <v>16010492.5</v>
          </cell>
          <cell r="M5">
            <v>8863985</v>
          </cell>
        </row>
        <row r="7">
          <cell r="B7">
            <v>12430</v>
          </cell>
          <cell r="C7">
            <v>8990</v>
          </cell>
          <cell r="D7">
            <v>8400</v>
          </cell>
          <cell r="E7">
            <v>8680</v>
          </cell>
          <cell r="F7">
            <v>12060</v>
          </cell>
          <cell r="G7">
            <v>10323</v>
          </cell>
          <cell r="H7">
            <v>12958</v>
          </cell>
          <cell r="I7">
            <v>12540</v>
          </cell>
          <cell r="J7">
            <v>12090</v>
          </cell>
          <cell r="K7">
            <v>11640</v>
          </cell>
          <cell r="L7">
            <v>12090</v>
          </cell>
          <cell r="M7">
            <v>6696</v>
          </cell>
        </row>
        <row r="8">
          <cell r="B8">
            <v>3858</v>
          </cell>
          <cell r="C8">
            <v>2869.05</v>
          </cell>
          <cell r="D8">
            <v>2679</v>
          </cell>
          <cell r="E8">
            <v>2768.3</v>
          </cell>
          <cell r="F8">
            <v>3850.5</v>
          </cell>
          <cell r="G8">
            <v>3292.045</v>
          </cell>
          <cell r="H8">
            <v>4135.4</v>
          </cell>
          <cell r="I8">
            <v>4002</v>
          </cell>
          <cell r="J8">
            <v>3857.95</v>
          </cell>
          <cell r="K8">
            <v>3714</v>
          </cell>
          <cell r="L8">
            <v>3857.95</v>
          </cell>
          <cell r="M8">
            <v>2135.9</v>
          </cell>
        </row>
      </sheetData>
      <sheetData sheetId="5">
        <row r="4">
          <cell r="B4">
            <v>60945529</v>
          </cell>
          <cell r="C4">
            <v>105245000</v>
          </cell>
          <cell r="D4">
            <v>93900000</v>
          </cell>
          <cell r="E4">
            <v>97045500</v>
          </cell>
          <cell r="F4">
            <v>92040000</v>
          </cell>
          <cell r="G4">
            <v>88164000</v>
          </cell>
          <cell r="H4">
            <v>82258500</v>
          </cell>
          <cell r="I4">
            <v>79605000</v>
          </cell>
          <cell r="J4">
            <v>79050000</v>
          </cell>
          <cell r="K4">
            <v>77737500</v>
          </cell>
          <cell r="L4">
            <v>80328750</v>
          </cell>
          <cell r="M4">
            <v>65541750</v>
          </cell>
        </row>
        <row r="5">
          <cell r="B5">
            <v>19257804</v>
          </cell>
          <cell r="C5">
            <v>33219600</v>
          </cell>
          <cell r="D5">
            <v>29664000</v>
          </cell>
          <cell r="E5">
            <v>30682560</v>
          </cell>
          <cell r="F5">
            <v>29116800</v>
          </cell>
          <cell r="G5">
            <v>27914880</v>
          </cell>
          <cell r="H5">
            <v>26322720</v>
          </cell>
          <cell r="I5">
            <v>25473600</v>
          </cell>
          <cell r="J5">
            <v>25296000</v>
          </cell>
          <cell r="K5">
            <v>24876000</v>
          </cell>
          <cell r="L5">
            <v>25705200</v>
          </cell>
          <cell r="M5">
            <v>20973360</v>
          </cell>
        </row>
        <row r="7">
          <cell r="B7">
            <v>15652</v>
          </cell>
          <cell r="C7">
            <v>25575</v>
          </cell>
          <cell r="D7">
            <v>22800</v>
          </cell>
          <cell r="E7">
            <v>23560</v>
          </cell>
          <cell r="F7">
            <v>22350</v>
          </cell>
          <cell r="G7">
            <v>21390</v>
          </cell>
          <cell r="H7">
            <v>19840</v>
          </cell>
          <cell r="I7">
            <v>19200</v>
          </cell>
          <cell r="J7">
            <v>19065</v>
          </cell>
          <cell r="K7">
            <v>18750</v>
          </cell>
          <cell r="L7">
            <v>19375</v>
          </cell>
          <cell r="M7">
            <v>15810</v>
          </cell>
        </row>
        <row r="8">
          <cell r="B8">
            <v>4931</v>
          </cell>
          <cell r="C8">
            <v>8069.3</v>
          </cell>
          <cell r="D8">
            <v>7200</v>
          </cell>
          <cell r="E8">
            <v>7446.2</v>
          </cell>
          <cell r="F8">
            <v>7068</v>
          </cell>
          <cell r="G8">
            <v>6770.4</v>
          </cell>
          <cell r="H8">
            <v>6348.8</v>
          </cell>
          <cell r="I8">
            <v>6144</v>
          </cell>
          <cell r="J8">
            <v>6100.8</v>
          </cell>
          <cell r="K8">
            <v>6000</v>
          </cell>
          <cell r="L8">
            <v>6200</v>
          </cell>
          <cell r="M8">
            <v>5059.2</v>
          </cell>
        </row>
      </sheetData>
      <sheetData sheetId="6">
        <row r="4">
          <cell r="B4">
            <v>56082794</v>
          </cell>
          <cell r="C4">
            <v>74982800</v>
          </cell>
          <cell r="D4">
            <v>71130000</v>
          </cell>
          <cell r="E4">
            <v>76384000</v>
          </cell>
          <cell r="F4">
            <v>69642000</v>
          </cell>
          <cell r="G4">
            <v>114554300</v>
          </cell>
          <cell r="H4">
            <v>129936500</v>
          </cell>
          <cell r="I4">
            <v>116677500</v>
          </cell>
          <cell r="J4">
            <v>115064250</v>
          </cell>
          <cell r="K4">
            <v>111975000</v>
          </cell>
          <cell r="L4">
            <v>115707500</v>
          </cell>
          <cell r="M4">
            <v>86663600</v>
          </cell>
        </row>
        <row r="5">
          <cell r="B5">
            <v>18111083.2</v>
          </cell>
          <cell r="C5">
            <v>24390428</v>
          </cell>
          <cell r="D5">
            <v>23108700</v>
          </cell>
          <cell r="E5">
            <v>24759700</v>
          </cell>
          <cell r="F5">
            <v>22597020</v>
          </cell>
          <cell r="G5">
            <v>33354698</v>
          </cell>
          <cell r="H5">
            <v>37130870</v>
          </cell>
          <cell r="I5">
            <v>33128400</v>
          </cell>
          <cell r="J5">
            <v>32808540</v>
          </cell>
          <cell r="K5">
            <v>31949400</v>
          </cell>
          <cell r="L5">
            <v>33014380</v>
          </cell>
          <cell r="M5">
            <v>24586720</v>
          </cell>
        </row>
        <row r="7">
          <cell r="B7">
            <v>13608</v>
          </cell>
          <cell r="C7">
            <v>18135</v>
          </cell>
          <cell r="D7">
            <v>17250</v>
          </cell>
          <cell r="E7">
            <v>18600</v>
          </cell>
          <cell r="F7">
            <v>16950</v>
          </cell>
          <cell r="G7">
            <v>26815</v>
          </cell>
          <cell r="H7">
            <v>30225</v>
          </cell>
          <cell r="I7">
            <v>26850</v>
          </cell>
          <cell r="J7">
            <v>26505</v>
          </cell>
          <cell r="K7">
            <v>25800</v>
          </cell>
          <cell r="L7">
            <v>26660</v>
          </cell>
          <cell r="M7">
            <v>19933</v>
          </cell>
        </row>
        <row r="8">
          <cell r="B8">
            <v>4403.84</v>
          </cell>
          <cell r="C8">
            <v>5894.65</v>
          </cell>
          <cell r="D8">
            <v>5599.5</v>
          </cell>
          <cell r="E8">
            <v>6023.3</v>
          </cell>
          <cell r="F8">
            <v>5494.5</v>
          </cell>
          <cell r="G8">
            <v>7884.85</v>
          </cell>
          <cell r="H8">
            <v>8734.25</v>
          </cell>
          <cell r="I8">
            <v>7710</v>
          </cell>
          <cell r="J8">
            <v>7641.5</v>
          </cell>
          <cell r="K8">
            <v>7443</v>
          </cell>
          <cell r="L8">
            <v>7691.1</v>
          </cell>
          <cell r="M8">
            <v>5719.5</v>
          </cell>
        </row>
      </sheetData>
      <sheetData sheetId="7"/>
      <sheetData sheetId="8">
        <row r="4">
          <cell r="B4">
            <v>66868745</v>
          </cell>
          <cell r="C4">
            <v>95061500</v>
          </cell>
          <cell r="D4">
            <v>95460000</v>
          </cell>
          <cell r="E4">
            <v>97355500</v>
          </cell>
          <cell r="F4">
            <v>101805000</v>
          </cell>
          <cell r="G4">
            <v>94906500</v>
          </cell>
          <cell r="H4">
            <v>118861750</v>
          </cell>
          <cell r="I4">
            <v>115027500</v>
          </cell>
          <cell r="J4">
            <v>116870000</v>
          </cell>
          <cell r="K4">
            <v>113100000</v>
          </cell>
          <cell r="L4">
            <v>116870000</v>
          </cell>
          <cell r="M4">
            <v>84428500</v>
          </cell>
        </row>
        <row r="5">
          <cell r="B5">
            <v>21740692.4</v>
          </cell>
          <cell r="C5">
            <v>29725280</v>
          </cell>
          <cell r="D5">
            <v>29827500</v>
          </cell>
          <cell r="E5">
            <v>30422935</v>
          </cell>
          <cell r="F5">
            <v>31846650</v>
          </cell>
          <cell r="G5">
            <v>29690715</v>
          </cell>
          <cell r="H5">
            <v>37197752.5</v>
          </cell>
          <cell r="I5">
            <v>35997825</v>
          </cell>
          <cell r="J5">
            <v>36566825</v>
          </cell>
          <cell r="K5">
            <v>35387250</v>
          </cell>
          <cell r="L5">
            <v>36566825</v>
          </cell>
          <cell r="M5">
            <v>26402080</v>
          </cell>
        </row>
        <row r="7">
          <cell r="B7">
            <v>17722.7622461171</v>
          </cell>
          <cell r="C7">
            <v>22630</v>
          </cell>
          <cell r="D7">
            <v>22800</v>
          </cell>
          <cell r="E7">
            <v>23250</v>
          </cell>
          <cell r="F7">
            <v>24300</v>
          </cell>
          <cell r="G7">
            <v>22630</v>
          </cell>
          <cell r="H7">
            <v>28365</v>
          </cell>
          <cell r="I7">
            <v>27450</v>
          </cell>
          <cell r="J7">
            <v>27900</v>
          </cell>
          <cell r="K7">
            <v>27000</v>
          </cell>
          <cell r="L7">
            <v>27900</v>
          </cell>
          <cell r="M7">
            <v>20150</v>
          </cell>
        </row>
        <row r="8">
          <cell r="B8">
            <v>5752.7762962963</v>
          </cell>
          <cell r="C8">
            <v>7074.2</v>
          </cell>
          <cell r="D8">
            <v>7122</v>
          </cell>
          <cell r="E8">
            <v>7263.3</v>
          </cell>
          <cell r="F8">
            <v>7599</v>
          </cell>
          <cell r="G8">
            <v>7077.3</v>
          </cell>
          <cell r="H8">
            <v>8873.75</v>
          </cell>
          <cell r="I8">
            <v>8587.5</v>
          </cell>
          <cell r="J8">
            <v>8726.5</v>
          </cell>
          <cell r="K8">
            <v>8445</v>
          </cell>
          <cell r="L8">
            <v>8726.5</v>
          </cell>
          <cell r="M8">
            <v>6299.2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I26" sqref="I26"/>
    </sheetView>
  </sheetViews>
  <sheetFormatPr defaultColWidth="8.88888888888889" defaultRowHeight="15.6"/>
  <cols>
    <col min="1" max="1" width="14.1111111111111" style="67" customWidth="1"/>
    <col min="2" max="2" width="20.8888888888889" style="67" customWidth="1"/>
    <col min="3" max="14" width="15.1111111111111" style="67" customWidth="1"/>
    <col min="15" max="15" width="20.1111111111111" style="67" customWidth="1"/>
    <col min="16" max="16" width="15.6666666666667" style="67"/>
    <col min="17" max="17" width="17" style="67"/>
    <col min="18" max="65" width="15.6666666666667" style="67"/>
    <col min="66" max="66" width="15.6666666666667" style="67" customWidth="1"/>
    <col min="67" max="67" width="15.6666666666667" style="67" hidden="1" customWidth="1"/>
    <col min="68" max="71" width="14.1111111111111" style="67" hidden="1" customWidth="1"/>
    <col min="72" max="72" width="15.2222222222222" style="67" hidden="1" customWidth="1"/>
    <col min="73" max="80" width="8.88888888888889" style="67" hidden="1" customWidth="1"/>
    <col min="81" max="82" width="15.6666666666667" style="67" hidden="1" customWidth="1"/>
    <col min="83" max="84" width="8.88888888888889" style="67" hidden="1" customWidth="1"/>
    <col min="85" max="16384" width="8.88888888888889" style="67"/>
  </cols>
  <sheetData>
    <row r="1" s="67" customFormat="1" ht="17.4" spans="1:83">
      <c r="A1" s="70" t="str">
        <f>'[1]特别隐藏版（勿动、勿看）'!A1</f>
        <v>2026年度WB进度</v>
      </c>
      <c r="B1" s="70">
        <f>'[1]特别隐藏版（勿动、勿看）'!B1</f>
        <v>0</v>
      </c>
      <c r="C1" s="70">
        <f>'[1]特别隐藏版（勿动、勿看）'!C1</f>
        <v>0</v>
      </c>
      <c r="D1" s="70">
        <f>'[1]特别隐藏版（勿动、勿看）'!D1</f>
        <v>0</v>
      </c>
      <c r="E1" s="70">
        <f>'[1]特别隐藏版（勿动、勿看）'!E1</f>
        <v>0</v>
      </c>
      <c r="F1" s="70">
        <f>'[1]特别隐藏版（勿动、勿看）'!F1</f>
        <v>0</v>
      </c>
      <c r="G1" s="70">
        <f>'[1]特别隐藏版（勿动、勿看）'!G1</f>
        <v>0</v>
      </c>
      <c r="H1" s="70">
        <f>'[1]特别隐藏版（勿动、勿看）'!H1</f>
        <v>0</v>
      </c>
      <c r="I1" s="70">
        <f>'[1]特别隐藏版（勿动、勿看）'!I1</f>
        <v>0</v>
      </c>
      <c r="J1" s="70">
        <f>'[1]特别隐藏版（勿动、勿看）'!J1</f>
        <v>0</v>
      </c>
      <c r="K1" s="70">
        <f>'[1]特别隐藏版（勿动、勿看）'!K1</f>
        <v>0</v>
      </c>
      <c r="L1" s="70">
        <f>'[1]特别隐藏版（勿动、勿看）'!L1</f>
        <v>0</v>
      </c>
      <c r="M1" s="70">
        <f>'[1]特别隐藏版（勿动、勿看）'!M1</f>
        <v>0</v>
      </c>
      <c r="N1" s="70">
        <f>'[1]特别隐藏版（勿动、勿看）'!N1</f>
        <v>0</v>
      </c>
      <c r="O1" s="70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7" customFormat="1" spans="1:83">
      <c r="A2" s="70" t="str">
        <f>'[1]特别隐藏版（勿动、勿看）'!A2</f>
        <v>项目</v>
      </c>
      <c r="B2" s="70" t="str">
        <f>'[1]特别隐藏版（勿动、勿看）'!B2</f>
        <v>月度</v>
      </c>
      <c r="C2" s="2" t="str">
        <f>'[1]特别隐藏版（勿动、勿看）'!C2</f>
        <v>2月</v>
      </c>
      <c r="D2" s="2" t="str">
        <f>'[1]特别隐藏版（勿动、勿看）'!D2</f>
        <v>3月</v>
      </c>
      <c r="E2" s="2" t="str">
        <f>'[1]特别隐藏版（勿动、勿看）'!E2</f>
        <v>4月</v>
      </c>
      <c r="F2" s="3" t="str">
        <f>'[1]特别隐藏版（勿动、勿看）'!F2</f>
        <v>5月</v>
      </c>
      <c r="G2" s="3" t="str">
        <f>'[1]特别隐藏版（勿动、勿看）'!G2</f>
        <v>6月</v>
      </c>
      <c r="H2" s="3" t="str">
        <f>'[1]特别隐藏版（勿动、勿看）'!H2</f>
        <v>7月</v>
      </c>
      <c r="I2" s="24" t="str">
        <f>'[1]特别隐藏版（勿动、勿看）'!I2</f>
        <v>8月</v>
      </c>
      <c r="J2" s="24" t="str">
        <f>'[1]特别隐藏版（勿动、勿看）'!J2</f>
        <v>9月</v>
      </c>
      <c r="K2" s="24" t="str">
        <f>'[1]特别隐藏版（勿动、勿看）'!K2</f>
        <v>10月</v>
      </c>
      <c r="L2" s="25" t="str">
        <f>'[1]特别隐藏版（勿动、勿看）'!L2</f>
        <v>11月</v>
      </c>
      <c r="M2" s="25" t="str">
        <f>'[1]特别隐藏版（勿动、勿看）'!M2</f>
        <v>12月</v>
      </c>
      <c r="N2" s="25" t="str">
        <f>'[1]特别隐藏版（勿动、勿看）'!N2</f>
        <v>1月</v>
      </c>
      <c r="O2" s="70" t="str">
        <f>'[1]特别隐藏版（勿动、勿看）'!O2</f>
        <v>汇总</v>
      </c>
      <c r="BP2" s="70"/>
      <c r="BQ2" s="2"/>
      <c r="BR2" s="2"/>
      <c r="BS2" s="2"/>
      <c r="BT2" s="3"/>
      <c r="BU2" s="3"/>
      <c r="BV2" s="3"/>
      <c r="BW2" s="24"/>
      <c r="BX2" s="24"/>
      <c r="BY2" s="24"/>
      <c r="BZ2" s="25"/>
      <c r="CA2" s="25"/>
      <c r="CB2" s="25"/>
      <c r="CC2" s="112"/>
      <c r="CD2" s="112"/>
      <c r="CE2" s="112"/>
    </row>
    <row r="3" s="67" customFormat="1" spans="1:83">
      <c r="A3" s="70">
        <f>'[1]特别隐藏版（勿动、勿看）'!A3</f>
        <v>0</v>
      </c>
      <c r="B3" s="70" t="str">
        <f>'[1]特别隐藏版（勿动、勿看）'!B3</f>
        <v>季度</v>
      </c>
      <c r="C3" s="2" t="str">
        <f>'[1]特别隐藏版（勿动、勿看）'!C3</f>
        <v>Q1</v>
      </c>
      <c r="D3" s="2">
        <f>'[1]特别隐藏版（勿动、勿看）'!D3</f>
        <v>0</v>
      </c>
      <c r="E3" s="2">
        <f>'[1]特别隐藏版（勿动、勿看）'!E3</f>
        <v>0</v>
      </c>
      <c r="F3" s="3" t="str">
        <f>'[1]特别隐藏版（勿动、勿看）'!F3</f>
        <v>Q2</v>
      </c>
      <c r="G3" s="3">
        <f>'[1]特别隐藏版（勿动、勿看）'!G3</f>
        <v>0</v>
      </c>
      <c r="H3" s="3">
        <f>'[1]特别隐藏版（勿动、勿看）'!H3</f>
        <v>0</v>
      </c>
      <c r="I3" s="24" t="str">
        <f>'[1]特别隐藏版（勿动、勿看）'!I3</f>
        <v>Q3</v>
      </c>
      <c r="J3" s="24">
        <f>'[1]特别隐藏版（勿动、勿看）'!J3</f>
        <v>0</v>
      </c>
      <c r="K3" s="24">
        <f>'[1]特别隐藏版（勿动、勿看）'!K3</f>
        <v>0</v>
      </c>
      <c r="L3" s="25" t="str">
        <f>'[1]特别隐藏版（勿动、勿看）'!L3</f>
        <v>Q4</v>
      </c>
      <c r="M3" s="25">
        <f>'[1]特别隐藏版（勿动、勿看）'!M3</f>
        <v>0</v>
      </c>
      <c r="N3" s="25">
        <f>'[1]特别隐藏版（勿动、勿看）'!N3</f>
        <v>0</v>
      </c>
      <c r="O3" s="70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7" customFormat="1" spans="1:83">
      <c r="A4" s="70">
        <f>'[1]特别隐藏版（勿动、勿看）'!A4</f>
        <v>0</v>
      </c>
      <c r="B4" s="70" t="str">
        <f>'[1]特别隐藏版（勿动、勿看）'!B4</f>
        <v>季度财报</v>
      </c>
      <c r="C4" s="4">
        <f>'[1]2026年度男装汇总分析'!C4</f>
        <v>935295.04</v>
      </c>
      <c r="D4" s="4">
        <f>'[1]特别隐藏版（勿动、勿看）'!D4</f>
        <v>0</v>
      </c>
      <c r="E4" s="4">
        <f>'[1]特别隐藏版（勿动、勿看）'!E4</f>
        <v>0</v>
      </c>
      <c r="F4" s="71">
        <f>'[1]2026年度男装汇总分析'!F4</f>
        <v>698610.823760655</v>
      </c>
      <c r="G4" s="71">
        <f>'[1]特别隐藏版（勿动、勿看）'!G4</f>
        <v>0</v>
      </c>
      <c r="H4" s="71">
        <f>'[1]特别隐藏版（勿动、勿看）'!H4</f>
        <v>0</v>
      </c>
      <c r="I4" s="79">
        <f>'[1]2026年度男装汇总分析'!I4</f>
        <v>0</v>
      </c>
      <c r="J4" s="79">
        <f>'[1]特别隐藏版（勿动、勿看）'!J4</f>
        <v>0</v>
      </c>
      <c r="K4" s="79">
        <f>'[1]特别隐藏版（勿动、勿看）'!K4</f>
        <v>0</v>
      </c>
      <c r="L4" s="80">
        <f>'[1]2026年度男装汇总分析'!L4</f>
        <v>0</v>
      </c>
      <c r="M4" s="80">
        <f>'[1]特别隐藏版（勿动、勿看）'!M4</f>
        <v>0</v>
      </c>
      <c r="N4" s="80">
        <f>'[1]特别隐藏版（勿动、勿看）'!N4</f>
        <v>0</v>
      </c>
      <c r="O4" s="70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8" customFormat="1" spans="1:83">
      <c r="A5" s="13">
        <f>'[1]特别隐藏版（勿动、勿看）'!A5</f>
        <v>0</v>
      </c>
      <c r="B5" s="13" t="str">
        <f>'[1]特别隐藏版（勿动、勿看）'!B5</f>
        <v>季度财报进度</v>
      </c>
      <c r="C5" s="5">
        <f>'[1]2026年度男装汇总分析'!C5</f>
        <v>0.725215936135818</v>
      </c>
      <c r="D5" s="5">
        <f>'[1]特别隐藏版（勿动、勿看）'!D5</f>
        <v>0</v>
      </c>
      <c r="E5" s="5">
        <f>'[1]特别隐藏版（勿动、勿看）'!E5</f>
        <v>0</v>
      </c>
      <c r="F5" s="6">
        <f>'[1]2026年度男装汇总分析'!F5</f>
        <v>0.420051351495379</v>
      </c>
      <c r="G5" s="6">
        <f>'[1]特别隐藏版（勿动、勿看）'!G5</f>
        <v>0</v>
      </c>
      <c r="H5" s="6">
        <f>'[1]特别隐藏版（勿动、勿看）'!H5</f>
        <v>0</v>
      </c>
      <c r="I5" s="26">
        <f>'[1]2026年度男装汇总分析'!I5</f>
        <v>0</v>
      </c>
      <c r="J5" s="26">
        <f>'[1]特别隐藏版（勿动、勿看）'!J5</f>
        <v>0</v>
      </c>
      <c r="K5" s="26">
        <f>'[1]特别隐藏版（勿动、勿看）'!K5</f>
        <v>0</v>
      </c>
      <c r="L5" s="27">
        <f>'[1]2026年度男装汇总分析'!L5</f>
        <v>0</v>
      </c>
      <c r="M5" s="27">
        <f>'[1]特别隐藏版（勿动、勿看）'!M5</f>
        <v>0</v>
      </c>
      <c r="N5" s="27">
        <f>'[1]特别隐藏版（勿动、勿看）'!N5</f>
        <v>0</v>
      </c>
      <c r="O5" s="13">
        <f>'[1]特别隐藏版（勿动、勿看）'!O5</f>
        <v>0</v>
      </c>
      <c r="P5" s="81"/>
      <c r="Q5" s="81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7" customFormat="1" ht="31.2" spans="1:83">
      <c r="A6" s="72" t="str">
        <f>'[1]特别隐藏版（勿动、勿看）'!A6</f>
        <v>目标完成情况</v>
      </c>
      <c r="B6" s="8" t="str">
        <f>'[1]特别隐藏版（勿动、勿看）'!B6</f>
        <v>月度目标
利润（人民币）</v>
      </c>
      <c r="C6" s="9">
        <f>'[1]2026年度男装汇总分析'!C6</f>
        <v>335792.794830819</v>
      </c>
      <c r="D6" s="9">
        <f>'[1]2026年度男装汇总分析'!D6</f>
        <v>495821.970600399</v>
      </c>
      <c r="E6" s="9">
        <f>'[1]2026年度男装汇总分析'!E6</f>
        <v>546265.878674808</v>
      </c>
      <c r="F6" s="9">
        <f>'[1]2026年度男装汇总分析'!F6</f>
        <v>614961.359102038</v>
      </c>
      <c r="G6" s="9">
        <f>'[1]2026年度男装汇总分析'!G6</f>
        <v>531399.518028897</v>
      </c>
      <c r="H6" s="9">
        <f>'[1]2026年度男装汇总分析'!H6</f>
        <v>549112.835296526</v>
      </c>
      <c r="I6" s="9">
        <f>'[1]2026年度男装汇总分析'!I6</f>
        <v>691873.249103936</v>
      </c>
      <c r="J6" s="9">
        <f>'[1]2026年度男装汇总分析'!J6</f>
        <v>669554.757197358</v>
      </c>
      <c r="K6" s="9">
        <f>'[1]2026年度男装汇总分析'!K6</f>
        <v>667313.309995024</v>
      </c>
      <c r="L6" s="9">
        <f>'[1]2026年度男装汇总分析'!L6</f>
        <v>619182.362865127</v>
      </c>
      <c r="M6" s="9">
        <f>'[1]2026年度男装汇总分析'!M6</f>
        <v>639821.774960632</v>
      </c>
      <c r="N6" s="9">
        <f>'[1]2026年度男装汇总分析'!N6</f>
        <v>358899.96389988</v>
      </c>
      <c r="O6" s="28">
        <f>SUM(C6:N6)</f>
        <v>6719999.77455544</v>
      </c>
      <c r="P6" s="82"/>
      <c r="Q6" s="82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7" customFormat="1" spans="1:83">
      <c r="A7" s="73">
        <f>'[1]特别隐藏版（勿动、勿看）'!A7</f>
        <v>0</v>
      </c>
      <c r="B7" s="11" t="str">
        <f>'[1]特别隐藏版（勿动、勿看）'!B7</f>
        <v>实际利润（人民币）</v>
      </c>
      <c r="C7" s="12">
        <f>'[1]2026年度男装汇总分析'!C7</f>
        <v>301715.93</v>
      </c>
      <c r="D7" s="12">
        <f>'[1]2026年度男装汇总分析'!D7</f>
        <v>484842.75</v>
      </c>
      <c r="E7" s="12">
        <f>'[1]2026年度男装汇总分析'!E7</f>
        <v>148736.36</v>
      </c>
      <c r="F7" s="12">
        <f>'[1]2026年度男装汇总分析'!F7</f>
        <v>284968.47</v>
      </c>
      <c r="G7" s="12">
        <f>'[1]2026年度男装汇总分析'!G7</f>
        <v>269170.203815175</v>
      </c>
      <c r="H7" s="12">
        <f>'[1]2026年度男装汇总分析'!H7</f>
        <v>144472.14994548</v>
      </c>
      <c r="I7" s="12">
        <f>'[1]2026年度男装汇总分析'!I7</f>
        <v>0</v>
      </c>
      <c r="J7" s="12">
        <f>'[1]2026年度男装汇总分析'!J7</f>
        <v>0</v>
      </c>
      <c r="K7" s="12">
        <f>'[1]2026年度男装汇总分析'!K7</f>
        <v>0</v>
      </c>
      <c r="L7" s="12">
        <f>'[1]2026年度男装汇总分析'!L7</f>
        <v>0</v>
      </c>
      <c r="M7" s="12">
        <f>'[1]2026年度男装汇总分析'!M7</f>
        <v>0</v>
      </c>
      <c r="N7" s="12">
        <f>'[1]2026年度男装汇总分析'!N7</f>
        <v>0</v>
      </c>
      <c r="O7" s="12">
        <f>SUM(C7:N7)</f>
        <v>1633905.86376065</v>
      </c>
      <c r="P7" s="81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7" customFormat="1" spans="1:83">
      <c r="A8" s="73">
        <f>'[1]特别隐藏版（勿动、勿看）'!A8</f>
        <v>0</v>
      </c>
      <c r="B8" s="70" t="str">
        <f>'[1]特别隐藏版（勿动、勿看）'!B8</f>
        <v>目标完成进度</v>
      </c>
      <c r="C8" s="20">
        <f>C7/C6</f>
        <v>0.898518177413581</v>
      </c>
      <c r="D8" s="20">
        <f t="shared" ref="D8:O8" si="0">D7/D6</f>
        <v>0.977856526633735</v>
      </c>
      <c r="E8" s="20">
        <f t="shared" si="0"/>
        <v>0.272278327837025</v>
      </c>
      <c r="F8" s="20">
        <f t="shared" si="0"/>
        <v>0.463392481140781</v>
      </c>
      <c r="G8" s="20">
        <f t="shared" si="0"/>
        <v>0.506530763922405</v>
      </c>
      <c r="H8" s="20">
        <f t="shared" si="0"/>
        <v>0.263101025251875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0.24314076169277</v>
      </c>
      <c r="P8" s="81"/>
      <c r="Q8" s="81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7" customFormat="1" spans="1:83">
      <c r="A9" s="74">
        <f>'[1]特别隐藏版（勿动、勿看）'!A9</f>
        <v>0</v>
      </c>
      <c r="B9" s="15">
        <f>'[1]特别隐藏版（勿动、勿看）'!B9</f>
        <v>0</v>
      </c>
      <c r="C9" s="16">
        <f>'[1]特别隐藏版（勿动、勿看）'!C9</f>
        <v>0</v>
      </c>
      <c r="D9" s="16">
        <f>'[1]特别隐藏版（勿动、勿看）'!D9</f>
        <v>0</v>
      </c>
      <c r="E9" s="16">
        <f>'[1]特别隐藏版（勿动、勿看）'!E9</f>
        <v>0</v>
      </c>
      <c r="F9" s="16">
        <f>'[1]特别隐藏版（勿动、勿看）'!F9</f>
        <v>0</v>
      </c>
      <c r="G9" s="16">
        <f>'[1]特别隐藏版（勿动、勿看）'!G9</f>
        <v>0</v>
      </c>
      <c r="H9" s="16">
        <f>'[1]特别隐藏版（勿动、勿看）'!H9</f>
        <v>0</v>
      </c>
      <c r="I9" s="16">
        <f>'[1]特别隐藏版（勿动、勿看）'!I9</f>
        <v>0</v>
      </c>
      <c r="J9" s="16">
        <f>'[1]特别隐藏版（勿动、勿看）'!J9</f>
        <v>0</v>
      </c>
      <c r="K9" s="16">
        <f>'[1]特别隐藏版（勿动、勿看）'!K9</f>
        <v>0</v>
      </c>
      <c r="L9" s="16">
        <f>'[1]特别隐藏版（勿动、勿看）'!L9</f>
        <v>0</v>
      </c>
      <c r="M9" s="16">
        <f>'[1]特别隐藏版（勿动、勿看）'!M9</f>
        <v>0</v>
      </c>
      <c r="N9" s="16">
        <f>'[1]特别隐藏版（勿动、勿看）'!N9</f>
        <v>0</v>
      </c>
      <c r="O9" s="29">
        <f>'[1]特别隐藏版（勿动、勿看）'!O9</f>
        <v>0</v>
      </c>
      <c r="P9" s="81"/>
      <c r="Q9" s="81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7" customFormat="1" spans="1:83">
      <c r="A10" s="73">
        <f>'[1]特别隐藏版（勿动、勿看）'!A10</f>
        <v>0</v>
      </c>
      <c r="B10" s="70" t="str">
        <f>'[1]特别隐藏版（勿动、勿看）'!B10</f>
        <v>销量目标</v>
      </c>
      <c r="C10" s="75">
        <f>'[1]2026年度男装汇总分析'!C10</f>
        <v>20440</v>
      </c>
      <c r="D10" s="75">
        <f>'[1]2026年度男装汇总分析'!D10</f>
        <v>30070</v>
      </c>
      <c r="E10" s="75">
        <f>'[1]2026年度男装汇总分析'!E10</f>
        <v>33000</v>
      </c>
      <c r="F10" s="75">
        <f>'[1]2026年度男装汇总分析'!F10</f>
        <v>37200</v>
      </c>
      <c r="G10" s="75">
        <f>'[1]2026年度男装汇总分析'!G10</f>
        <v>32100</v>
      </c>
      <c r="H10" s="75">
        <f>'[1]2026年度男装汇总分析'!H10</f>
        <v>33170</v>
      </c>
      <c r="I10" s="75">
        <f>'[1]2026年度男装汇总分析'!I10</f>
        <v>41850</v>
      </c>
      <c r="J10" s="75">
        <f>'[1]2026年度男装汇总分析'!J10</f>
        <v>40500</v>
      </c>
      <c r="K10" s="75">
        <f>'[1]2026年度男装汇总分析'!K10</f>
        <v>40300</v>
      </c>
      <c r="L10" s="75">
        <f>'[1]2026年度男装汇总分析'!L10</f>
        <v>37500</v>
      </c>
      <c r="M10" s="75">
        <f>'[1]2026年度男装汇总分析'!M10</f>
        <v>38750</v>
      </c>
      <c r="N10" s="75">
        <f>'[1]2026年度男装汇总分析'!N10</f>
        <v>21700</v>
      </c>
      <c r="O10" s="30">
        <f>SUM(C10:N10)</f>
        <v>406580</v>
      </c>
      <c r="P10" s="81"/>
      <c r="Q10" s="81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7" customFormat="1" spans="1:83">
      <c r="A11" s="73">
        <f>'[1]特别隐藏版（勿动、勿看）'!A11</f>
        <v>0</v>
      </c>
      <c r="B11" s="11" t="str">
        <f>'[1]特别隐藏版（勿动、勿看）'!B11</f>
        <v>销量完成</v>
      </c>
      <c r="C11" s="11">
        <f>'[1]2026年度男装汇总分析'!C11</f>
        <v>20744</v>
      </c>
      <c r="D11" s="11">
        <f>'[1]2026年度男装汇总分析'!D11</f>
        <v>35092</v>
      </c>
      <c r="E11" s="11">
        <f>'[1]2026年度男装汇总分析'!E11</f>
        <v>21224</v>
      </c>
      <c r="F11" s="11">
        <f>'[1]2026年度男装汇总分析'!F11</f>
        <v>27150</v>
      </c>
      <c r="G11" s="11">
        <f>'[1]2026年度男装汇总分析'!G11</f>
        <v>16959</v>
      </c>
      <c r="H11" s="11">
        <f>'[1]2026年度男装汇总分析'!H11</f>
        <v>8876</v>
      </c>
      <c r="I11" s="11">
        <f>'[1]2026年度男装汇总分析'!I11</f>
        <v>0</v>
      </c>
      <c r="J11" s="11">
        <f>'[1]2026年度男装汇总分析'!J11</f>
        <v>0</v>
      </c>
      <c r="K11" s="11">
        <f>'[1]2026年度男装汇总分析'!K11</f>
        <v>0</v>
      </c>
      <c r="L11" s="11">
        <f>'[1]2026年度男装汇总分析'!L11</f>
        <v>0</v>
      </c>
      <c r="M11" s="11">
        <f>'[1]2026年度男装汇总分析'!M11</f>
        <v>0</v>
      </c>
      <c r="N11" s="11">
        <f>'[1]2026年度男装汇总分析'!N11</f>
        <v>0</v>
      </c>
      <c r="O11" s="11">
        <f>SUM(C11:N11)</f>
        <v>130045</v>
      </c>
      <c r="P11" s="68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7" customFormat="1" spans="1:83">
      <c r="A12" s="73">
        <f>'[1]特别隐藏版（勿动、勿看）'!A12</f>
        <v>0</v>
      </c>
      <c r="B12" s="70" t="str">
        <f>'[1]特别隐藏版（勿动、勿看）'!B12</f>
        <v>销量完成进度</v>
      </c>
      <c r="C12" s="20">
        <f t="shared" ref="C12:O12" si="1">C11/C10</f>
        <v>1.01487279843444</v>
      </c>
      <c r="D12" s="20">
        <f t="shared" si="1"/>
        <v>1.16701030927835</v>
      </c>
      <c r="E12" s="20">
        <f t="shared" si="1"/>
        <v>0.643151515151515</v>
      </c>
      <c r="F12" s="20">
        <f t="shared" si="1"/>
        <v>0.729838709677419</v>
      </c>
      <c r="G12" s="20">
        <f t="shared" si="1"/>
        <v>0.528317757009346</v>
      </c>
      <c r="H12" s="20">
        <f t="shared" si="1"/>
        <v>0.267591196864637</v>
      </c>
      <c r="I12" s="20">
        <f t="shared" si="1"/>
        <v>0</v>
      </c>
      <c r="J12" s="20">
        <f t="shared" si="1"/>
        <v>0</v>
      </c>
      <c r="K12" s="20">
        <f t="shared" si="1"/>
        <v>0</v>
      </c>
      <c r="L12" s="20">
        <f t="shared" si="1"/>
        <v>0</v>
      </c>
      <c r="M12" s="20">
        <f t="shared" si="1"/>
        <v>0</v>
      </c>
      <c r="N12" s="20">
        <f t="shared" si="1"/>
        <v>0</v>
      </c>
      <c r="O12" s="20">
        <f t="shared" si="1"/>
        <v>0.319850951842196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7" customFormat="1" spans="1:83">
      <c r="A13" s="73">
        <f>'[1]特别隐藏版（勿动、勿看）'!A13</f>
        <v>0</v>
      </c>
      <c r="B13" s="15">
        <f>'[1]特别隐藏版（勿动、勿看）'!B13</f>
        <v>0</v>
      </c>
      <c r="C13" s="16">
        <f>'[1]特别隐藏版（勿动、勿看）'!C13</f>
        <v>0</v>
      </c>
      <c r="D13" s="16">
        <f>'[1]特别隐藏版（勿动、勿看）'!D13</f>
        <v>0</v>
      </c>
      <c r="E13" s="16">
        <f>'[1]特别隐藏版（勿动、勿看）'!E13</f>
        <v>0</v>
      </c>
      <c r="F13" s="16">
        <f>'[1]特别隐藏版（勿动、勿看）'!F13</f>
        <v>0</v>
      </c>
      <c r="G13" s="16">
        <f>'[1]特别隐藏版（勿动、勿看）'!G13</f>
        <v>0</v>
      </c>
      <c r="H13" s="16">
        <f>'[1]特别隐藏版（勿动、勿看）'!H13</f>
        <v>0</v>
      </c>
      <c r="I13" s="16">
        <f>'[1]特别隐藏版（勿动、勿看）'!I13</f>
        <v>0</v>
      </c>
      <c r="J13" s="16">
        <f>'[1]特别隐藏版（勿动、勿看）'!J13</f>
        <v>0</v>
      </c>
      <c r="K13" s="16">
        <f>'[1]特别隐藏版（勿动、勿看）'!K13</f>
        <v>0</v>
      </c>
      <c r="L13" s="16">
        <f>'[1]特别隐藏版（勿动、勿看）'!L13</f>
        <v>0</v>
      </c>
      <c r="M13" s="16">
        <f>'[1]特别隐藏版（勿动、勿看）'!M13</f>
        <v>0</v>
      </c>
      <c r="N13" s="16">
        <f>'[1]特别隐藏版（勿动、勿看）'!N13</f>
        <v>0</v>
      </c>
      <c r="O13" s="29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7" customFormat="1" spans="1:83">
      <c r="A14" s="73">
        <f>'[1]特别隐藏版（勿动、勿看）'!A14</f>
        <v>0</v>
      </c>
      <c r="B14" s="70" t="str">
        <f>'[1]特别隐藏版（勿动、勿看）'!B14</f>
        <v>实销目标</v>
      </c>
      <c r="C14" s="75">
        <f>'[1]2026年度男装汇总分析'!C14</f>
        <v>6897.35764350642</v>
      </c>
      <c r="D14" s="75">
        <f>'[1]2026年度男装汇总分析'!D14</f>
        <v>10111.6874213955</v>
      </c>
      <c r="E14" s="75">
        <f>'[1]2026年度男装汇总分析'!E14</f>
        <v>11086.2267444023</v>
      </c>
      <c r="F14" s="75">
        <f>'[1]2026年度男装汇总分析'!F14</f>
        <v>12472.0552607735</v>
      </c>
      <c r="G14" s="75">
        <f>'[1]2026年度男装汇总分析'!G14</f>
        <v>10728.7647155245</v>
      </c>
      <c r="H14" s="75">
        <f>'[1]2026年度男装汇总分析'!H14</f>
        <v>11086.390206042</v>
      </c>
      <c r="I14" s="75">
        <f>'[1]2026年度男装汇总分析'!I14</f>
        <v>13984.8055722318</v>
      </c>
      <c r="J14" s="75">
        <f>'[1]2026年度男装汇总分析'!J14</f>
        <v>13533.6828118373</v>
      </c>
      <c r="K14" s="75">
        <f>'[1]2026年度男装汇总分析'!K14</f>
        <v>13410.0089029832</v>
      </c>
      <c r="L14" s="75">
        <f>'[1]2026年度男装汇总分析'!L14</f>
        <v>12490.9058483349</v>
      </c>
      <c r="M14" s="75">
        <f>'[1]2026年度男装汇总分析'!M14</f>
        <v>12907.2693766127</v>
      </c>
      <c r="N14" s="75">
        <f>'[1]2026年度男装汇总分析'!N14</f>
        <v>7213.14826393716</v>
      </c>
      <c r="O14" s="36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7" customFormat="1" spans="1:83">
      <c r="A15" s="73">
        <f>'[1]特别隐藏版（勿动、勿看）'!A15</f>
        <v>0</v>
      </c>
      <c r="B15" s="11" t="str">
        <f>'[1]特别隐藏版（勿动、勿看）'!B15</f>
        <v>实销完成</v>
      </c>
      <c r="C15" s="11">
        <f>'[1]2026年度男装汇总分析'!C15</f>
        <v>6365</v>
      </c>
      <c r="D15" s="11">
        <f>'[1]2026年度男装汇总分析'!D15</f>
        <v>9824</v>
      </c>
      <c r="E15" s="11">
        <f>'[1]2026年度男装汇总分析'!E15</f>
        <v>5779</v>
      </c>
      <c r="F15" s="11">
        <f>'[1]2026年度男装汇总分析'!F15</f>
        <v>7790</v>
      </c>
      <c r="G15" s="11">
        <f>'[1]2026年度男装汇总分析'!G15</f>
        <v>5201</v>
      </c>
      <c r="H15" s="11">
        <f>'[1]2026年度男装汇总分析'!H15</f>
        <v>2905</v>
      </c>
      <c r="I15" s="11">
        <f>'[1]2026年度男装汇总分析'!I15</f>
        <v>0</v>
      </c>
      <c r="J15" s="11">
        <f>'[1]2026年度男装汇总分析'!J15</f>
        <v>0</v>
      </c>
      <c r="K15" s="11">
        <f>'[1]2026年度男装汇总分析'!K15</f>
        <v>0</v>
      </c>
      <c r="L15" s="11">
        <f>'[1]2026年度男装汇总分析'!L15</f>
        <v>0</v>
      </c>
      <c r="M15" s="11">
        <f>'[1]2026年度男装汇总分析'!M15</f>
        <v>0</v>
      </c>
      <c r="N15" s="11">
        <f>'[1]2026年度男装汇总分析'!N15</f>
        <v>0</v>
      </c>
      <c r="O15" s="11">
        <f>'[1]特别隐藏版（勿动、勿看）'!O15</f>
        <v>47317</v>
      </c>
      <c r="P15" s="68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7" customFormat="1" spans="1:83">
      <c r="A16" s="73">
        <f>'[1]特别隐藏版（勿动、勿看）'!A16</f>
        <v>0</v>
      </c>
      <c r="B16" s="70" t="str">
        <f>'[1]特别隐藏版（勿动、勿看）'!B16</f>
        <v>实销完成进度</v>
      </c>
      <c r="C16" s="20">
        <f t="shared" ref="C16:O16" si="2">C15/C14</f>
        <v>0.922817161147557</v>
      </c>
      <c r="D16" s="20">
        <f t="shared" si="2"/>
        <v>0.971549019524993</v>
      </c>
      <c r="E16" s="20">
        <f t="shared" si="2"/>
        <v>0.521277449328551</v>
      </c>
      <c r="F16" s="20">
        <f t="shared" si="2"/>
        <v>0.624596334535233</v>
      </c>
      <c r="G16" s="20">
        <f t="shared" si="2"/>
        <v>0.484771559252685</v>
      </c>
      <c r="H16" s="20">
        <f t="shared" si="2"/>
        <v>0.262032992345588</v>
      </c>
      <c r="I16" s="20">
        <f t="shared" si="2"/>
        <v>0</v>
      </c>
      <c r="J16" s="20">
        <f t="shared" si="2"/>
        <v>0</v>
      </c>
      <c r="K16" s="20">
        <f t="shared" si="2"/>
        <v>0</v>
      </c>
      <c r="L16" s="20">
        <f t="shared" si="2"/>
        <v>0</v>
      </c>
      <c r="M16" s="20">
        <f t="shared" si="2"/>
        <v>0</v>
      </c>
      <c r="N16" s="20">
        <f t="shared" si="2"/>
        <v>0</v>
      </c>
      <c r="O16" s="20">
        <f t="shared" si="2"/>
        <v>0.351976765340101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7" customFormat="1" spans="1:83">
      <c r="A17" s="73">
        <f>'[1]特别隐藏版（勿动、勿看）'!A17</f>
        <v>0</v>
      </c>
      <c r="B17" s="15">
        <f>'[1]特别隐藏版（勿动、勿看）'!B17</f>
        <v>0</v>
      </c>
      <c r="C17" s="16">
        <f>'[1]特别隐藏版（勿动、勿看）'!C17</f>
        <v>0</v>
      </c>
      <c r="D17" s="16">
        <f>'[1]特别隐藏版（勿动、勿看）'!D17</f>
        <v>0</v>
      </c>
      <c r="E17" s="16">
        <f>'[1]特别隐藏版（勿动、勿看）'!E17</f>
        <v>0</v>
      </c>
      <c r="F17" s="16">
        <f>'[1]特别隐藏版（勿动、勿看）'!F17</f>
        <v>0</v>
      </c>
      <c r="G17" s="16">
        <f>'[1]特别隐藏版（勿动、勿看）'!G17</f>
        <v>0</v>
      </c>
      <c r="H17" s="16">
        <f>'[1]特别隐藏版（勿动、勿看）'!H17</f>
        <v>0</v>
      </c>
      <c r="I17" s="16">
        <f>'[1]特别隐藏版（勿动、勿看）'!I17</f>
        <v>0</v>
      </c>
      <c r="J17" s="16">
        <f>'[1]特别隐藏版（勿动、勿看）'!J17</f>
        <v>0</v>
      </c>
      <c r="K17" s="16">
        <f>'[1]特别隐藏版（勿动、勿看）'!K17</f>
        <v>0</v>
      </c>
      <c r="L17" s="16">
        <f>'[1]特别隐藏版（勿动、勿看）'!L17</f>
        <v>0</v>
      </c>
      <c r="M17" s="16">
        <f>'[1]特别隐藏版（勿动、勿看）'!M17</f>
        <v>0</v>
      </c>
      <c r="N17" s="16">
        <f>'[1]特别隐藏版（勿动、勿看）'!N17</f>
        <v>0</v>
      </c>
      <c r="O17" s="29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69" customFormat="1" spans="1:83">
      <c r="A18" s="76">
        <f>'[1]特别隐藏版（勿动、勿看）'!A18</f>
        <v>0</v>
      </c>
      <c r="B18" s="18" t="str">
        <f>'[1]特别隐藏版（勿动、勿看）'!B18</f>
        <v>GMV目标</v>
      </c>
      <c r="C18" s="18">
        <f>'[1]2026年度男装汇总分析'!C18</f>
        <v>80493092.3882099</v>
      </c>
      <c r="D18" s="18">
        <f>'[1]2026年度男装汇总分析'!D18</f>
        <v>119089072.754788</v>
      </c>
      <c r="E18" s="18">
        <f>'[1]2026年度男装汇总分析'!E18</f>
        <v>131407647.769309</v>
      </c>
      <c r="F18" s="18">
        <f>'[1]2026年度男装汇总分析'!F18</f>
        <v>147885532.814373</v>
      </c>
      <c r="G18" s="18">
        <f>'[1]2026年度男装汇总分析'!G18</f>
        <v>127926788.132262</v>
      </c>
      <c r="H18" s="18">
        <f>'[1]2026年度男装汇总分析'!H18</f>
        <v>132191014.403337</v>
      </c>
      <c r="I18" s="18">
        <f>'[1]2026年度男装汇总分析'!I18</f>
        <v>166757115.903943</v>
      </c>
      <c r="J18" s="18">
        <f>'[1]2026年度男装汇总分析'!J18</f>
        <v>161377854.10059</v>
      </c>
      <c r="K18" s="18">
        <f>'[1]2026年度男装汇总分析'!K18</f>
        <v>160880813.862657</v>
      </c>
      <c r="L18" s="18">
        <f>'[1]2026年度男装汇总分析'!L18</f>
        <v>149498436.887819</v>
      </c>
      <c r="M18" s="18">
        <f>'[1]2026年度男装汇总分析'!M18</f>
        <v>154481718.117413</v>
      </c>
      <c r="N18" s="18">
        <f>'[1]2026年度男装汇总分析'!N18</f>
        <v>86489221.9910386</v>
      </c>
      <c r="O18" s="31">
        <f>'[1]特别隐藏版（勿动、勿看）'!O18</f>
        <v>1702896506.80041</v>
      </c>
      <c r="P18" s="67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69" customFormat="1" spans="1:83">
      <c r="A19" s="76">
        <f>'[1]特别隐藏版（勿动、勿看）'!A19</f>
        <v>0</v>
      </c>
      <c r="B19" s="19" t="str">
        <f>'[1]特别隐藏版（勿动、勿看）'!B19</f>
        <v>GMV完成</v>
      </c>
      <c r="C19" s="19">
        <f>'[1]2026年度男装汇总分析'!C19</f>
        <v>87962394</v>
      </c>
      <c r="D19" s="19">
        <f>'[1]2026年度男装汇总分析'!D19</f>
        <v>148640998</v>
      </c>
      <c r="E19" s="19">
        <f>'[1]2026年度男装汇总分析'!E19</f>
        <v>95808740</v>
      </c>
      <c r="F19" s="19">
        <f>'[1]2026年度男装汇总分析'!F19</f>
        <v>115730945</v>
      </c>
      <c r="G19" s="19">
        <f>'[1]2026年度男装汇总分析'!G19</f>
        <v>71404757</v>
      </c>
      <c r="H19" s="19">
        <f>'[1]2026年度男装汇总分析'!H19</f>
        <v>44296993</v>
      </c>
      <c r="I19" s="19">
        <f>'[1]2026年度男装汇总分析'!I19</f>
        <v>0</v>
      </c>
      <c r="J19" s="19">
        <f>'[1]2026年度男装汇总分析'!J19</f>
        <v>0</v>
      </c>
      <c r="K19" s="19">
        <f>'[1]2026年度男装汇总分析'!K19</f>
        <v>0</v>
      </c>
      <c r="L19" s="19">
        <f>'[1]2026年度男装汇总分析'!L19</f>
        <v>0</v>
      </c>
      <c r="M19" s="19">
        <f>'[1]2026年度男装汇总分析'!M19</f>
        <v>0</v>
      </c>
      <c r="N19" s="19">
        <f>'[1]2026年度男装汇总分析'!N19</f>
        <v>0</v>
      </c>
      <c r="O19" s="19">
        <f>'[1]特别隐藏版（勿动、勿看）'!O19</f>
        <v>774109270</v>
      </c>
      <c r="P19" s="68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7" customFormat="1" spans="1:83">
      <c r="A20" s="73">
        <f>'[1]特别隐藏版（勿动、勿看）'!A20</f>
        <v>0</v>
      </c>
      <c r="B20" s="70" t="str">
        <f>'[1]特别隐藏版（勿动、勿看）'!B20</f>
        <v>GMV完成进度</v>
      </c>
      <c r="C20" s="20">
        <f t="shared" ref="C20:O20" si="3">C19/C18</f>
        <v>1.09279431799895</v>
      </c>
      <c r="D20" s="20">
        <f t="shared" si="3"/>
        <v>1.24814976354767</v>
      </c>
      <c r="E20" s="20">
        <f t="shared" si="3"/>
        <v>0.729095616780203</v>
      </c>
      <c r="F20" s="20">
        <f t="shared" si="3"/>
        <v>0.782571106162672</v>
      </c>
      <c r="G20" s="20">
        <f t="shared" si="3"/>
        <v>0.558168918664443</v>
      </c>
      <c r="H20" s="20">
        <f t="shared" si="3"/>
        <v>0.335098366556462</v>
      </c>
      <c r="I20" s="20">
        <f t="shared" si="3"/>
        <v>0</v>
      </c>
      <c r="J20" s="20">
        <f t="shared" si="3"/>
        <v>0</v>
      </c>
      <c r="K20" s="20">
        <f t="shared" si="3"/>
        <v>0</v>
      </c>
      <c r="L20" s="20">
        <f t="shared" si="3"/>
        <v>0</v>
      </c>
      <c r="M20" s="20">
        <f t="shared" si="3"/>
        <v>0</v>
      </c>
      <c r="N20" s="20">
        <f t="shared" si="3"/>
        <v>0</v>
      </c>
      <c r="O20" s="20">
        <f t="shared" si="3"/>
        <v>0.454583861619684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7" customFormat="1" spans="1:83">
      <c r="A21" s="73">
        <f>'[1]特别隐藏版（勿动、勿看）'!A21</f>
        <v>0</v>
      </c>
      <c r="B21" s="15">
        <f>'[1]特别隐藏版（勿动、勿看）'!B21</f>
        <v>0</v>
      </c>
      <c r="C21" s="16">
        <f>'[1]特别隐藏版（勿动、勿看）'!C21</f>
        <v>0</v>
      </c>
      <c r="D21" s="16">
        <f>'[1]特别隐藏版（勿动、勿看）'!D21</f>
        <v>0</v>
      </c>
      <c r="E21" s="16">
        <f>'[1]特别隐藏版（勿动、勿看）'!E21</f>
        <v>0</v>
      </c>
      <c r="F21" s="16">
        <f>'[1]特别隐藏版（勿动、勿看）'!F21</f>
        <v>0</v>
      </c>
      <c r="G21" s="16">
        <f>'[1]特别隐藏版（勿动、勿看）'!G21</f>
        <v>0</v>
      </c>
      <c r="H21" s="16">
        <f>'[1]特别隐藏版（勿动、勿看）'!H21</f>
        <v>0</v>
      </c>
      <c r="I21" s="16">
        <f>'[1]特别隐藏版（勿动、勿看）'!I21</f>
        <v>0</v>
      </c>
      <c r="J21" s="16">
        <f>'[1]特别隐藏版（勿动、勿看）'!J21</f>
        <v>0</v>
      </c>
      <c r="K21" s="16">
        <f>'[1]特别隐藏版（勿动、勿看）'!K21</f>
        <v>0</v>
      </c>
      <c r="L21" s="16">
        <f>'[1]特别隐藏版（勿动、勿看）'!L21</f>
        <v>0</v>
      </c>
      <c r="M21" s="16">
        <f>'[1]特别隐藏版（勿动、勿看）'!M21</f>
        <v>0</v>
      </c>
      <c r="N21" s="16">
        <f>'[1]特别隐藏版（勿动、勿看）'!N21</f>
        <v>0</v>
      </c>
      <c r="O21" s="29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7" customFormat="1" spans="1:83">
      <c r="A22" s="73">
        <f>'[1]特别隐藏版（勿动、勿看）'!A22</f>
        <v>0</v>
      </c>
      <c r="B22" s="70" t="str">
        <f>'[1]特别隐藏版（勿动、勿看）'!B22</f>
        <v>GSV目标</v>
      </c>
      <c r="C22" s="77">
        <f>'[1]2026年度男装汇总分析'!C22</f>
        <v>2071988.2707281</v>
      </c>
      <c r="D22" s="77">
        <f>'[1]2026年度男装汇总分析'!D22</f>
        <v>3065494.8716562</v>
      </c>
      <c r="E22" s="77">
        <f>'[1]2026年度男装汇总分析'!E22</f>
        <v>3382589.69538433</v>
      </c>
      <c r="F22" s="77">
        <f>'[1]2026年度男装汇总分析'!F22</f>
        <v>3806750.1236496</v>
      </c>
      <c r="G22" s="77">
        <f>'[1]2026年度男装汇总分析'!G22</f>
        <v>3292988.21374131</v>
      </c>
      <c r="H22" s="77">
        <f>'[1]2026年度男装汇总分析'!H22</f>
        <v>3402754.48753268</v>
      </c>
      <c r="I22" s="77">
        <f>'[1]2026年度男装汇总分析'!I22</f>
        <v>4292527.19658247</v>
      </c>
      <c r="J22" s="77">
        <f>'[1]2026年度男装汇总分析'!J22</f>
        <v>4154058.57733787</v>
      </c>
      <c r="K22" s="77">
        <f>'[1]2026年度男装汇总分析'!K22</f>
        <v>4141264.16837033</v>
      </c>
      <c r="L22" s="77">
        <f>'[1]2026年度男装汇总分析'!L22</f>
        <v>3848268.19958426</v>
      </c>
      <c r="M22" s="77">
        <f>'[1]2026年度男装汇总分析'!M22</f>
        <v>3976543.80623707</v>
      </c>
      <c r="N22" s="77">
        <f>'[1]2026年度男装汇总分析'!N22</f>
        <v>2226335.80339472</v>
      </c>
      <c r="O22" s="28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7" customFormat="1" spans="1:83">
      <c r="A23" s="73">
        <f>'[1]特别隐藏版（勿动、勿看）'!A23</f>
        <v>0</v>
      </c>
      <c r="B23" s="11" t="str">
        <f>'[1]特别隐藏版（勿动、勿看）'!B23</f>
        <v>GSV完成</v>
      </c>
      <c r="C23" s="22">
        <f>'[1]2026年度男装汇总分析'!C23</f>
        <v>2304945.05</v>
      </c>
      <c r="D23" s="22">
        <f>'[1]2026年度男装汇总分析'!D23</f>
        <v>3779574.67</v>
      </c>
      <c r="E23" s="22">
        <f>'[1]2026年度男装汇总分析'!E23</f>
        <v>2243082.76</v>
      </c>
      <c r="F23" s="22">
        <f>'[1]2026年度男装汇总分析'!F23</f>
        <v>3000516.43</v>
      </c>
      <c r="G23" s="22">
        <f>'[1]2026年度男装汇总分析'!G23</f>
        <v>2098469.2321</v>
      </c>
      <c r="H23" s="22">
        <f>'[1]2026年度男装汇总分析'!H23</f>
        <v>1098691.8357</v>
      </c>
      <c r="I23" s="22">
        <f>'[1]2026年度男装汇总分析'!I23</f>
        <v>0</v>
      </c>
      <c r="J23" s="22">
        <f>'[1]2026年度男装汇总分析'!J23</f>
        <v>0</v>
      </c>
      <c r="K23" s="22">
        <f>'[1]2026年度男装汇总分析'!K23</f>
        <v>0</v>
      </c>
      <c r="L23" s="22">
        <f>'[1]2026年度男装汇总分析'!L23</f>
        <v>0</v>
      </c>
      <c r="M23" s="22">
        <f>'[1]2026年度男装汇总分析'!M23</f>
        <v>0</v>
      </c>
      <c r="N23" s="22">
        <f>'[1]2026年度男装汇总分析'!N23</f>
        <v>0</v>
      </c>
      <c r="O23" s="12">
        <f>'[1]特别隐藏版（勿动、勿看）'!O23</f>
        <v>18628383.6062</v>
      </c>
      <c r="P23" s="68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7" customFormat="1" spans="1:83">
      <c r="A24" s="73">
        <f>'[1]特别隐藏版（勿动、勿看）'!A24</f>
        <v>0</v>
      </c>
      <c r="B24" s="70" t="str">
        <f>'[1]特别隐藏版（勿动、勿看）'!B24</f>
        <v>GSV完成进度</v>
      </c>
      <c r="C24" s="20">
        <f t="shared" ref="C24:O24" si="4">C23/C22</f>
        <v>1.11243151448441</v>
      </c>
      <c r="D24" s="20">
        <f t="shared" si="4"/>
        <v>1.23294111660282</v>
      </c>
      <c r="E24" s="20">
        <f t="shared" si="4"/>
        <v>0.66312587750763</v>
      </c>
      <c r="F24" s="20">
        <f t="shared" si="4"/>
        <v>0.788209452298737</v>
      </c>
      <c r="G24" s="20">
        <f t="shared" si="4"/>
        <v>0.637253793786233</v>
      </c>
      <c r="H24" s="20">
        <f t="shared" si="4"/>
        <v>0.32288307596845</v>
      </c>
      <c r="I24" s="20">
        <f t="shared" si="4"/>
        <v>0</v>
      </c>
      <c r="J24" s="20">
        <f t="shared" si="4"/>
        <v>0</v>
      </c>
      <c r="K24" s="20">
        <f t="shared" si="4"/>
        <v>0</v>
      </c>
      <c r="L24" s="20">
        <f t="shared" si="4"/>
        <v>0</v>
      </c>
      <c r="M24" s="20">
        <f t="shared" si="4"/>
        <v>0</v>
      </c>
      <c r="N24" s="20">
        <f t="shared" si="4"/>
        <v>0</v>
      </c>
      <c r="O24" s="20">
        <f t="shared" si="4"/>
        <v>0.424969965721945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7" customFormat="1" spans="1:83">
      <c r="A25" s="73">
        <f>'[1]特别隐藏版（勿动、勿看）'!A25</f>
        <v>0</v>
      </c>
      <c r="B25" s="15">
        <f>'[1]特别隐藏版（勿动、勿看）'!B25</f>
        <v>0</v>
      </c>
      <c r="C25" s="16">
        <f>'[1]特别隐藏版（勿动、勿看）'!C25</f>
        <v>0</v>
      </c>
      <c r="D25" s="16">
        <f>'[1]特别隐藏版（勿动、勿看）'!D25</f>
        <v>0</v>
      </c>
      <c r="E25" s="16">
        <f>'[1]特别隐藏版（勿动、勿看）'!E25</f>
        <v>0</v>
      </c>
      <c r="F25" s="16">
        <f>'[1]特别隐藏版（勿动、勿看）'!F25</f>
        <v>0</v>
      </c>
      <c r="G25" s="16">
        <f>'[1]特别隐藏版（勿动、勿看）'!G25</f>
        <v>0</v>
      </c>
      <c r="H25" s="16">
        <f>'[1]特别隐藏版（勿动、勿看）'!H25</f>
        <v>0</v>
      </c>
      <c r="I25" s="16">
        <f>'[1]特别隐藏版（勿动、勿看）'!I25</f>
        <v>0</v>
      </c>
      <c r="J25" s="16">
        <f>'[1]特别隐藏版（勿动、勿看）'!J25</f>
        <v>0</v>
      </c>
      <c r="K25" s="16">
        <f>'[1]特别隐藏版（勿动、勿看）'!K25</f>
        <v>0</v>
      </c>
      <c r="L25" s="16">
        <f>'[1]特别隐藏版（勿动、勿看）'!L25</f>
        <v>0</v>
      </c>
      <c r="M25" s="16">
        <f>'[1]特别隐藏版（勿动、勿看）'!M25</f>
        <v>0</v>
      </c>
      <c r="N25" s="16">
        <f>'[1]特别隐藏版（勿动、勿看）'!N25</f>
        <v>0</v>
      </c>
      <c r="O25" s="29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7" customFormat="1" spans="1:83">
      <c r="A26" s="73">
        <f>'[1]特别隐藏版（勿动、勿看）'!A26</f>
        <v>0</v>
      </c>
      <c r="B26" s="70" t="str">
        <f>'[1]特别隐藏版（勿动、勿看）'!B26</f>
        <v>退款率</v>
      </c>
      <c r="C26" s="20">
        <f>'[1]特别隐藏版（勿动、勿看）'!C26</f>
        <v>0.687713238790621</v>
      </c>
      <c r="D26" s="20">
        <f>'[1]特别隐藏版（勿动、勿看）'!D26</f>
        <v>0.698604727387426</v>
      </c>
      <c r="E26" s="20">
        <f>'[1]特别隐藏版（勿动、勿看）'!E26</f>
        <v>0.729012655802096</v>
      </c>
      <c r="F26" s="20">
        <f>'[1]特别隐藏版（勿动、勿看）'!F26</f>
        <v>0.70390916276867</v>
      </c>
      <c r="G26" s="20">
        <f>'[1]特别隐藏版（勿动、勿看）'!G26</f>
        <v>0.66585209409716</v>
      </c>
      <c r="H26" s="20">
        <f>'[1]特别隐藏版（勿动、勿看）'!H26</f>
        <v>0.704748438317134</v>
      </c>
      <c r="I26" s="20" t="e">
        <f>'[1]特别隐藏版（勿动、勿看）'!I26</f>
        <v>#DIV/0!</v>
      </c>
      <c r="J26" s="20" t="e">
        <f>'[1]特别隐藏版（勿动、勿看）'!J26</f>
        <v>#DIV/0!</v>
      </c>
      <c r="K26" s="20" t="e">
        <f>'[1]特别隐藏版（勿动、勿看）'!K26</f>
        <v>#DIV/0!</v>
      </c>
      <c r="L26" s="20" t="e">
        <f>'[1]特别隐藏版（勿动、勿看）'!L26</f>
        <v>#DIV/0!</v>
      </c>
      <c r="M26" s="20" t="e">
        <f>'[1]特别隐藏版（勿动、勿看）'!M26</f>
        <v>#DIV/0!</v>
      </c>
      <c r="N26" s="20" t="e">
        <f>'[1]特别隐藏版（勿动、勿看）'!N26</f>
        <v>#DIV/0!</v>
      </c>
      <c r="O26" s="20">
        <f>'[1]特别隐藏版（勿动、勿看）'!O26</f>
        <v>0.699196477678791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7" customFormat="1" spans="1:83">
      <c r="A27" s="73">
        <f>'[1]特别隐藏版（勿动、勿看）'!A27</f>
        <v>0</v>
      </c>
      <c r="B27" s="70" t="str">
        <f>'[1]特别隐藏版（勿动、勿看）'!B27</f>
        <v>退货率</v>
      </c>
      <c r="C27" s="20">
        <f>'[1]特别隐藏版（勿动、勿看）'!C27</f>
        <v>0.699238311660985</v>
      </c>
      <c r="D27" s="20">
        <f>'[1]特别隐藏版（勿动、勿看）'!D27</f>
        <v>0.729198050509526</v>
      </c>
      <c r="E27" s="20">
        <f>'[1]特别隐藏版（勿动、勿看）'!E27</f>
        <v>0.744339900029403</v>
      </c>
      <c r="F27" s="20">
        <f>'[1]特别隐藏版（勿动、勿看）'!F27</f>
        <v>0.733192510300944</v>
      </c>
      <c r="G27" s="20">
        <f>'[1]特别隐藏版（勿动、勿看）'!G27</f>
        <v>0.720858403529884</v>
      </c>
      <c r="H27" s="20">
        <f>'[1]特别隐藏版（勿动、勿看）'!H27</f>
        <v>0.682831149319756</v>
      </c>
      <c r="I27" s="20" t="e">
        <f>'[1]特别隐藏版（勿动、勿看）'!I27</f>
        <v>#DIV/0!</v>
      </c>
      <c r="J27" s="20" t="e">
        <f>'[1]特别隐藏版（勿动、勿看）'!J27</f>
        <v>#DIV/0!</v>
      </c>
      <c r="K27" s="20" t="e">
        <f>'[1]特别隐藏版（勿动、勿看）'!K27</f>
        <v>#DIV/0!</v>
      </c>
      <c r="L27" s="20" t="e">
        <f>'[1]特别隐藏版（勿动、勿看）'!L27</f>
        <v>#DIV/0!</v>
      </c>
      <c r="M27" s="20" t="e">
        <f>'[1]特别隐藏版（勿动、勿看）'!M27</f>
        <v>#DIV/0!</v>
      </c>
      <c r="N27" s="20" t="e">
        <f>'[1]特别隐藏版（勿动、勿看）'!N27</f>
        <v>#DIV/0!</v>
      </c>
      <c r="O27" s="20">
        <f>'[1]特别隐藏版（勿动、勿看）'!O27</f>
        <v>0.723886606600999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7" customFormat="1" spans="1:83">
      <c r="A28" s="73">
        <f>'[1]特别隐藏版（勿动、勿看）'!A28</f>
        <v>0</v>
      </c>
      <c r="B28" s="70" t="str">
        <f>'[1]特别隐藏版（勿动、勿看）'!B28</f>
        <v>利润率</v>
      </c>
      <c r="C28" s="20">
        <f>'[1]特别隐藏版（勿动、勿看）'!C28</f>
        <v>0.138910140417833</v>
      </c>
      <c r="D28" s="20">
        <f>'[1]特别隐藏版（勿动、勿看）'!D28</f>
        <v>0.139867781085804</v>
      </c>
      <c r="E28" s="20">
        <f>'[1]特别隐藏版（勿动、勿看）'!E28</f>
        <v>0.0628267960090245</v>
      </c>
      <c r="F28" s="20">
        <f>'[1]特别隐藏版（勿动、勿看）'!F28</f>
        <v>0.108095037564605</v>
      </c>
      <c r="G28" s="20">
        <f>'[1]特别隐藏版（勿动、勿看）'!G28</f>
        <v>0.113259281343119</v>
      </c>
      <c r="H28" s="20">
        <f>'[1]特别隐藏版（勿动、勿看）'!H28</f>
        <v>0.119822865845662</v>
      </c>
      <c r="I28" s="20" t="e">
        <f>'[1]特别隐藏版（勿动、勿看）'!I28</f>
        <v>#DIV/0!</v>
      </c>
      <c r="J28" s="20" t="e">
        <f>'[1]特别隐藏版（勿动、勿看）'!J28</f>
        <v>#DIV/0!</v>
      </c>
      <c r="K28" s="20" t="e">
        <f>'[1]特别隐藏版（勿动、勿看）'!K28</f>
        <v>#DIV/0!</v>
      </c>
      <c r="L28" s="20" t="e">
        <f>'[1]特别隐藏版（勿动、勿看）'!L28</f>
        <v>#DIV/0!</v>
      </c>
      <c r="M28" s="20" t="e">
        <f>'[1]特别隐藏版（勿动、勿看）'!M28</f>
        <v>#DIV/0!</v>
      </c>
      <c r="N28" s="20" t="e">
        <f>'[1]特别隐藏版（勿动、勿看）'!N28</f>
        <v>#DIV/0!</v>
      </c>
      <c r="O28" s="20">
        <f>'[1]特别隐藏版（勿动、勿看）'!O28</f>
        <v>0.115690093971917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7" customFormat="1" spans="1:83">
      <c r="A29" s="78">
        <f>'[1]特别隐藏版（勿动、勿看）'!A29</f>
        <v>0</v>
      </c>
      <c r="B29" s="15">
        <f>'[1]特别隐藏版（勿动、勿看）'!B29</f>
        <v>0</v>
      </c>
      <c r="C29" s="16">
        <f>'[1]特别隐藏版（勿动、勿看）'!C29</f>
        <v>0</v>
      </c>
      <c r="D29" s="16">
        <f>'[1]特别隐藏版（勿动、勿看）'!D29</f>
        <v>0</v>
      </c>
      <c r="E29" s="16">
        <f>'[1]特别隐藏版（勿动、勿看）'!E29</f>
        <v>0</v>
      </c>
      <c r="F29" s="16">
        <f>'[1]特别隐藏版（勿动、勿看）'!F29</f>
        <v>0</v>
      </c>
      <c r="G29" s="16">
        <f>'[1]特别隐藏版（勿动、勿看）'!G29</f>
        <v>0</v>
      </c>
      <c r="H29" s="16">
        <f>'[1]特别隐藏版（勿动、勿看）'!H29</f>
        <v>0</v>
      </c>
      <c r="I29" s="16">
        <f>'[1]特别隐藏版（勿动、勿看）'!I29</f>
        <v>0</v>
      </c>
      <c r="J29" s="16">
        <f>'[1]特别隐藏版（勿动、勿看）'!J29</f>
        <v>0</v>
      </c>
      <c r="K29" s="16">
        <f>'[1]特别隐藏版（勿动、勿看）'!K29</f>
        <v>0</v>
      </c>
      <c r="L29" s="16">
        <f>'[1]特别隐藏版（勿动、勿看）'!L29</f>
        <v>0</v>
      </c>
      <c r="M29" s="16">
        <f>'[1]特别隐藏版（勿动、勿看）'!M29</f>
        <v>0</v>
      </c>
      <c r="N29" s="16">
        <f>'[1]特别隐藏版（勿动、勿看）'!N29</f>
        <v>0</v>
      </c>
      <c r="O29" s="29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7" customFormat="1" spans="1:83">
      <c r="A30" s="72" t="str">
        <f>'[1]特别隐藏版（勿动、勿看）'!A30</f>
        <v>LXTF1店</v>
      </c>
      <c r="B30" s="77" t="str">
        <f>'[1]特别隐藏版（勿动、勿看）'!B30</f>
        <v>实际利润（人民币）</v>
      </c>
      <c r="C30" s="77">
        <f>'[1]2026年度男装汇总分析'!C30</f>
        <v>95377.04</v>
      </c>
      <c r="D30" s="77">
        <f>'[1]2026年度男装汇总分析'!D30</f>
        <v>119066.85</v>
      </c>
      <c r="E30" s="77">
        <f>'[1]2026年度男装汇总分析'!E30</f>
        <v>30031.35</v>
      </c>
      <c r="F30" s="77">
        <f>'[1]2026年度男装汇总分析'!F30</f>
        <v>51410.92</v>
      </c>
      <c r="G30" s="77">
        <f>'[1]2026年度男装汇总分析'!G30</f>
        <v>60265.923414952</v>
      </c>
      <c r="H30" s="77">
        <f>'[1]2026年度男装汇总分析'!H30</f>
        <v>52989.6232218248</v>
      </c>
      <c r="I30" s="77">
        <f>'[1]2026年度男装汇总分析'!I30</f>
        <v>0</v>
      </c>
      <c r="J30" s="77">
        <f>'[1]2026年度男装汇总分析'!J30</f>
        <v>0</v>
      </c>
      <c r="K30" s="77">
        <f>'[1]2026年度男装汇总分析'!K30</f>
        <v>0</v>
      </c>
      <c r="L30" s="77">
        <f>'[1]2026年度男装汇总分析'!L30</f>
        <v>0</v>
      </c>
      <c r="M30" s="77">
        <f>'[1]2026年度男装汇总分析'!M30</f>
        <v>0</v>
      </c>
      <c r="N30" s="77">
        <f>'[1]2026年度男装汇总分析'!N30</f>
        <v>0</v>
      </c>
      <c r="O30" s="21">
        <f>SUM(C30:N30)</f>
        <v>409141.706636777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7" customFormat="1" spans="1:83">
      <c r="A31" s="73">
        <f>'[1]特别隐藏版（勿动、勿看）'!A31</f>
        <v>0</v>
      </c>
      <c r="B31" s="70" t="str">
        <f>'[1]特别隐藏版（勿动、勿看）'!B31</f>
        <v>销量完成</v>
      </c>
      <c r="C31" s="70">
        <f>'[1]2026年度男装汇总分析'!C31</f>
        <v>7692</v>
      </c>
      <c r="D31" s="70">
        <f>'[1]2026年度男装汇总分析'!D31</f>
        <v>11912</v>
      </c>
      <c r="E31" s="70">
        <f>'[1]2026年度男装汇总分析'!E31</f>
        <v>7904</v>
      </c>
      <c r="F31" s="70">
        <f>'[1]2026年度男装汇总分析'!F31</f>
        <v>8430</v>
      </c>
      <c r="G31" s="70">
        <f>'[1]2026年度男装汇总分析'!G31</f>
        <v>5569</v>
      </c>
      <c r="H31" s="70">
        <f>'[1]2026年度男装汇总分析'!H31</f>
        <v>3456</v>
      </c>
      <c r="I31" s="70">
        <f>'[1]2026年度男装汇总分析'!I31</f>
        <v>0</v>
      </c>
      <c r="J31" s="70">
        <f>'[1]2026年度男装汇总分析'!J31</f>
        <v>0</v>
      </c>
      <c r="K31" s="70">
        <f>'[1]2026年度男装汇总分析'!K31</f>
        <v>0</v>
      </c>
      <c r="L31" s="70">
        <f>'[1]2026年度男装汇总分析'!L31</f>
        <v>0</v>
      </c>
      <c r="M31" s="70">
        <f>'[1]2026年度男装汇总分析'!M31</f>
        <v>0</v>
      </c>
      <c r="N31" s="70">
        <f>'[1]2026年度男装汇总分析'!N31</f>
        <v>0</v>
      </c>
      <c r="O31" s="1">
        <f>SUM(C31:N31)</f>
        <v>44963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7" customFormat="1" spans="1:83">
      <c r="A32" s="73">
        <f>'[1]特别隐藏版（勿动、勿看）'!A32</f>
        <v>0</v>
      </c>
      <c r="B32" s="70" t="str">
        <f>'[1]特别隐藏版（勿动、勿看）'!B32</f>
        <v>实销完成</v>
      </c>
      <c r="C32" s="70">
        <f>'[1]2026年度男装汇总分析'!C32</f>
        <v>2167</v>
      </c>
      <c r="D32" s="70">
        <f>'[1]2026年度男装汇总分析'!D32</f>
        <v>3045</v>
      </c>
      <c r="E32" s="70">
        <f>'[1]2026年度男装汇总分析'!E32</f>
        <v>1899</v>
      </c>
      <c r="F32" s="70">
        <f>'[1]2026年度男装汇总分析'!F32</f>
        <v>2131</v>
      </c>
      <c r="G32" s="70">
        <f>'[1]2026年度男装汇总分析'!G32</f>
        <v>1563</v>
      </c>
      <c r="H32" s="70">
        <f>'[1]2026年度男装汇总分析'!H32</f>
        <v>1005</v>
      </c>
      <c r="I32" s="70">
        <f>'[1]2026年度男装汇总分析'!I32</f>
        <v>0</v>
      </c>
      <c r="J32" s="70">
        <f>'[1]2026年度男装汇总分析'!J32</f>
        <v>0</v>
      </c>
      <c r="K32" s="70">
        <f>'[1]2026年度男装汇总分析'!K32</f>
        <v>0</v>
      </c>
      <c r="L32" s="70">
        <f>'[1]2026年度男装汇总分析'!L32</f>
        <v>0</v>
      </c>
      <c r="M32" s="70">
        <f>'[1]2026年度男装汇总分析'!M32</f>
        <v>0</v>
      </c>
      <c r="N32" s="70">
        <f>'[1]2026年度男装汇总分析'!N32</f>
        <v>0</v>
      </c>
      <c r="O32" s="1">
        <f>SUM(C32:N32)</f>
        <v>11810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69" customFormat="1" spans="1:83">
      <c r="A33" s="76">
        <f>'[1]特别隐藏版（勿动、勿看）'!A33</f>
        <v>0</v>
      </c>
      <c r="B33" s="18" t="str">
        <f>'[1]特别隐藏版（勿动、勿看）'!B33</f>
        <v>GMV完成</v>
      </c>
      <c r="C33" s="18">
        <f>'[1]2026年度男装汇总分析'!C33</f>
        <v>31682878</v>
      </c>
      <c r="D33" s="18">
        <f>'[1]2026年度男装汇总分析'!D33</f>
        <v>51404385</v>
      </c>
      <c r="E33" s="18">
        <f>'[1]2026年度男装汇总分析'!E33</f>
        <v>35413028</v>
      </c>
      <c r="F33" s="18">
        <f>'[1]2026年度男装汇总分析'!F33</f>
        <v>35782129</v>
      </c>
      <c r="G33" s="18">
        <f>'[1]2026年度男装汇总分析'!G33</f>
        <v>24581134</v>
      </c>
      <c r="H33" s="18">
        <f>'[1]2026年度男装汇总分析'!H33</f>
        <v>16482001</v>
      </c>
      <c r="I33" s="18">
        <f>'[1]2026年度男装汇总分析'!I33</f>
        <v>0</v>
      </c>
      <c r="J33" s="18">
        <f>'[1]2026年度男装汇总分析'!J33</f>
        <v>0</v>
      </c>
      <c r="K33" s="18">
        <f>'[1]2026年度男装汇总分析'!K33</f>
        <v>0</v>
      </c>
      <c r="L33" s="18">
        <f>'[1]2026年度男装汇总分析'!L33</f>
        <v>0</v>
      </c>
      <c r="M33" s="18">
        <f>'[1]2026年度男装汇总分析'!M33</f>
        <v>0</v>
      </c>
      <c r="N33" s="18">
        <f>'[1]2026年度男装汇总分析'!N33</f>
        <v>0</v>
      </c>
      <c r="O33" s="83">
        <f t="shared" ref="O33:O42" si="5">SUM(C33:N33)</f>
        <v>195345555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7" customFormat="1" spans="1:83">
      <c r="A34" s="73">
        <f>'[1]特别隐藏版（勿动、勿看）'!A34</f>
        <v>0</v>
      </c>
      <c r="B34" s="77" t="str">
        <f>'[1]特别隐藏版（勿动、勿看）'!B34</f>
        <v>GSV完成</v>
      </c>
      <c r="C34" s="77">
        <f>'[1]2026年度男装汇总分析'!C34</f>
        <v>784712.64</v>
      </c>
      <c r="D34" s="77">
        <f>'[1]2026年度男装汇总分析'!D34</f>
        <v>1179892.49</v>
      </c>
      <c r="E34" s="77">
        <f>'[1]2026年度男装汇总分析'!E34</f>
        <v>724171.24</v>
      </c>
      <c r="F34" s="77">
        <f>'[1]2026年度男装汇总分析'!F34</f>
        <v>833536.12</v>
      </c>
      <c r="G34" s="77">
        <f>'[1]2026年度男装汇总分析'!G34</f>
        <v>635264.5292</v>
      </c>
      <c r="H34" s="77">
        <f>'[1]2026年度男装汇总分析'!H34</f>
        <v>380260.5047</v>
      </c>
      <c r="I34" s="77">
        <f>'[1]2026年度男装汇总分析'!I34</f>
        <v>0</v>
      </c>
      <c r="J34" s="77">
        <f>'[1]2026年度男装汇总分析'!J34</f>
        <v>0</v>
      </c>
      <c r="K34" s="77">
        <f>'[1]2026年度男装汇总分析'!K34</f>
        <v>0</v>
      </c>
      <c r="L34" s="77">
        <f>'[1]2026年度男装汇总分析'!L34</f>
        <v>0</v>
      </c>
      <c r="M34" s="77">
        <f>'[1]2026年度男装汇总分析'!M34</f>
        <v>0</v>
      </c>
      <c r="N34" s="77">
        <f>'[1]2026年度男装汇总分析'!N34</f>
        <v>0</v>
      </c>
      <c r="O34" s="21">
        <f t="shared" si="5"/>
        <v>4537837.5239</v>
      </c>
      <c r="Q34" s="68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7" customFormat="1" spans="1:83">
      <c r="A35" s="73">
        <f>'[1]特别隐藏版（勿动、勿看）'!A35</f>
        <v>0</v>
      </c>
      <c r="B35" s="70" t="str">
        <f>'[1]特别隐藏版（勿动、勿看）'!B35</f>
        <v>退款率</v>
      </c>
      <c r="C35" s="20">
        <f>1-C34*12.5/C33</f>
        <v>0.690403504378611</v>
      </c>
      <c r="D35" s="20">
        <f t="shared" ref="D35:O35" si="6">1-D34*12.5/D33</f>
        <v>0.713085641915568</v>
      </c>
      <c r="E35" s="20">
        <f t="shared" si="6"/>
        <v>0.744383888889705</v>
      </c>
      <c r="F35" s="20">
        <f t="shared" si="6"/>
        <v>0.708815495578813</v>
      </c>
      <c r="G35" s="20">
        <f t="shared" si="6"/>
        <v>0.676955236686802</v>
      </c>
      <c r="H35" s="20">
        <f t="shared" si="6"/>
        <v>0.71160926948433</v>
      </c>
      <c r="I35" s="20" t="e">
        <f t="shared" si="6"/>
        <v>#DIV/0!</v>
      </c>
      <c r="J35" s="20" t="e">
        <f t="shared" si="6"/>
        <v>#DIV/0!</v>
      </c>
      <c r="K35" s="20" t="e">
        <f t="shared" si="6"/>
        <v>#DIV/0!</v>
      </c>
      <c r="L35" s="20" t="e">
        <f t="shared" si="6"/>
        <v>#DIV/0!</v>
      </c>
      <c r="M35" s="20" t="e">
        <f t="shared" si="6"/>
        <v>#DIV/0!</v>
      </c>
      <c r="N35" s="20" t="e">
        <f t="shared" si="6"/>
        <v>#DIV/0!</v>
      </c>
      <c r="O35" s="20">
        <f t="shared" si="6"/>
        <v>0.709627541569861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7" customFormat="1" spans="1:83">
      <c r="A36" s="73">
        <f>'[1]特别隐藏版（勿动、勿看）'!A36</f>
        <v>0</v>
      </c>
      <c r="B36" s="70" t="str">
        <f>'[1]特别隐藏版（勿动、勿看）'!B36</f>
        <v>退货率</v>
      </c>
      <c r="C36" s="20">
        <f>1-C32/C31</f>
        <v>0.718278731149246</v>
      </c>
      <c r="D36" s="20">
        <f t="shared" ref="D36:O36" si="7">1-D32/D31</f>
        <v>0.744375419744795</v>
      </c>
      <c r="E36" s="20">
        <f t="shared" si="7"/>
        <v>0.759741902834008</v>
      </c>
      <c r="F36" s="20">
        <f t="shared" si="7"/>
        <v>0.747212336892052</v>
      </c>
      <c r="G36" s="20">
        <f t="shared" si="7"/>
        <v>0.719339199138086</v>
      </c>
      <c r="H36" s="20">
        <f t="shared" si="7"/>
        <v>0.709201388888889</v>
      </c>
      <c r="I36" s="20" t="e">
        <f t="shared" si="7"/>
        <v>#DIV/0!</v>
      </c>
      <c r="J36" s="20" t="e">
        <f t="shared" si="7"/>
        <v>#DIV/0!</v>
      </c>
      <c r="K36" s="20" t="e">
        <f t="shared" si="7"/>
        <v>#DIV/0!</v>
      </c>
      <c r="L36" s="20" t="e">
        <f t="shared" si="7"/>
        <v>#DIV/0!</v>
      </c>
      <c r="M36" s="20" t="e">
        <f t="shared" si="7"/>
        <v>#DIV/0!</v>
      </c>
      <c r="N36" s="20" t="e">
        <f t="shared" si="7"/>
        <v>#DIV/0!</v>
      </c>
      <c r="O36" s="20">
        <f t="shared" si="7"/>
        <v>0.737339590329827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7" customFormat="1" spans="1:83">
      <c r="A37" s="78">
        <f>'[1]特别隐藏版（勿动、勿看）'!A37</f>
        <v>0</v>
      </c>
      <c r="B37" s="70" t="str">
        <f>'[1]特别隐藏版（勿动、勿看）'!B37</f>
        <v>利润率</v>
      </c>
      <c r="C37" s="20">
        <f>C30/(C34)</f>
        <v>0.121543906824287</v>
      </c>
      <c r="D37" s="20">
        <f t="shared" ref="D37:O37" si="8">D30/(D34)</f>
        <v>0.100913304397759</v>
      </c>
      <c r="E37" s="20">
        <f t="shared" si="8"/>
        <v>0.0414699567466943</v>
      </c>
      <c r="F37" s="20">
        <f t="shared" si="8"/>
        <v>0.0616780950056489</v>
      </c>
      <c r="G37" s="20">
        <f t="shared" si="8"/>
        <v>0.094867445992689</v>
      </c>
      <c r="H37" s="20">
        <f t="shared" si="8"/>
        <v>0.139350846503583</v>
      </c>
      <c r="I37" s="20" t="e">
        <f t="shared" si="8"/>
        <v>#DIV/0!</v>
      </c>
      <c r="J37" s="20" t="e">
        <f t="shared" si="8"/>
        <v>#DIV/0!</v>
      </c>
      <c r="K37" s="20" t="e">
        <f t="shared" si="8"/>
        <v>#DIV/0!</v>
      </c>
      <c r="L37" s="20" t="e">
        <f t="shared" si="8"/>
        <v>#DIV/0!</v>
      </c>
      <c r="M37" s="20" t="e">
        <f t="shared" si="8"/>
        <v>#DIV/0!</v>
      </c>
      <c r="N37" s="20" t="e">
        <f t="shared" si="8"/>
        <v>#DIV/0!</v>
      </c>
      <c r="O37" s="20">
        <f t="shared" si="8"/>
        <v>0.090162264400587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7" customFormat="1" spans="1:15">
      <c r="A38" s="72" t="str">
        <f>'[1]特别隐藏版（勿动、勿看）'!A38</f>
        <v>LXTF2店</v>
      </c>
      <c r="B38" s="77" t="str">
        <f>'[1]特别隐藏版（勿动、勿看）'!B38</f>
        <v>实际利润（人民币）</v>
      </c>
      <c r="C38" s="77">
        <f>'[1]2026年度男装汇总分析'!C38</f>
        <v>87149.73</v>
      </c>
      <c r="D38" s="77">
        <f>'[1]2026年度男装汇总分析'!D38</f>
        <v>219445.1</v>
      </c>
      <c r="E38" s="77">
        <f>'[1]2026年度男装汇总分析'!E38</f>
        <v>53171.99</v>
      </c>
      <c r="F38" s="77">
        <f>'[1]2026年度男装汇总分析'!F38</f>
        <v>99083.11</v>
      </c>
      <c r="G38" s="77">
        <f>'[1]2026年度男装汇总分析'!G38</f>
        <v>105724.500133215</v>
      </c>
      <c r="H38" s="77">
        <f>'[1]2026年度男装汇总分析'!H38</f>
        <v>39211.2494320044</v>
      </c>
      <c r="I38" s="77">
        <f>'[1]2026年度男装汇总分析'!I38</f>
        <v>0</v>
      </c>
      <c r="J38" s="77">
        <f>'[1]2026年度男装汇总分析'!J38</f>
        <v>0</v>
      </c>
      <c r="K38" s="77">
        <f>'[1]2026年度男装汇总分析'!K38</f>
        <v>0</v>
      </c>
      <c r="L38" s="77">
        <f>'[1]2026年度男装汇总分析'!L38</f>
        <v>0</v>
      </c>
      <c r="M38" s="77">
        <f>'[1]2026年度男装汇总分析'!M38</f>
        <v>0</v>
      </c>
      <c r="N38" s="77">
        <f>'[1]2026年度男装汇总分析'!N38</f>
        <v>0</v>
      </c>
      <c r="O38" s="21">
        <f t="shared" si="5"/>
        <v>603785.679565219</v>
      </c>
    </row>
    <row r="39" s="67" customFormat="1" spans="1:15">
      <c r="A39" s="73">
        <f>'[1]特别隐藏版（勿动、勿看）'!A39</f>
        <v>0</v>
      </c>
      <c r="B39" s="70" t="str">
        <f>'[1]特别隐藏版（勿动、勿看）'!B39</f>
        <v>销量完成</v>
      </c>
      <c r="C39" s="70">
        <f>'[1]2026年度男装汇总分析'!C39</f>
        <v>6846</v>
      </c>
      <c r="D39" s="70">
        <f>'[1]2026年度男装汇总分析'!D39</f>
        <v>12313</v>
      </c>
      <c r="E39" s="70">
        <f>'[1]2026年度男装汇总分析'!E39</f>
        <v>6346</v>
      </c>
      <c r="F39" s="70">
        <f>'[1]2026年度男装汇总分析'!F39</f>
        <v>8877</v>
      </c>
      <c r="G39" s="70">
        <f>'[1]2026年度男装汇总分析'!G39</f>
        <v>5984</v>
      </c>
      <c r="H39" s="70">
        <f>'[1]2026年度男装汇总分析'!H39</f>
        <v>2836</v>
      </c>
      <c r="I39" s="70">
        <f>'[1]2026年度男装汇总分析'!I39</f>
        <v>0</v>
      </c>
      <c r="J39" s="70">
        <f>'[1]2026年度男装汇总分析'!J39</f>
        <v>0</v>
      </c>
      <c r="K39" s="70">
        <f>'[1]2026年度男装汇总分析'!K39</f>
        <v>0</v>
      </c>
      <c r="L39" s="70">
        <f>'[1]2026年度男装汇总分析'!L39</f>
        <v>0</v>
      </c>
      <c r="M39" s="70">
        <f>'[1]2026年度男装汇总分析'!M39</f>
        <v>0</v>
      </c>
      <c r="N39" s="70">
        <f>'[1]2026年度男装汇总分析'!N39</f>
        <v>0</v>
      </c>
      <c r="O39" s="1">
        <f t="shared" si="5"/>
        <v>43202</v>
      </c>
    </row>
    <row r="40" s="67" customFormat="1" ht="17.4" spans="1:83">
      <c r="A40" s="73">
        <f>'[1]特别隐藏版（勿动、勿看）'!A40</f>
        <v>0</v>
      </c>
      <c r="B40" s="70" t="str">
        <f>'[1]特别隐藏版（勿动、勿看）'!B40</f>
        <v>实销完成</v>
      </c>
      <c r="C40" s="70">
        <f>'[1]2026年度男装汇总分析'!C40</f>
        <v>2045</v>
      </c>
      <c r="D40" s="70">
        <f>'[1]2026年度男装汇总分析'!D40</f>
        <v>3425</v>
      </c>
      <c r="E40" s="70">
        <f>'[1]2026年度男装汇总分析'!E40</f>
        <v>1778</v>
      </c>
      <c r="F40" s="70">
        <f>'[1]2026年度男装汇总分析'!F40</f>
        <v>2609</v>
      </c>
      <c r="G40" s="70">
        <f>'[1]2026年度男装汇总分析'!G40</f>
        <v>1837</v>
      </c>
      <c r="H40" s="70">
        <f>'[1]2026年度男装汇总分析'!H40</f>
        <v>886</v>
      </c>
      <c r="I40" s="70">
        <f>'[1]2026年度男装汇总分析'!I40</f>
        <v>0</v>
      </c>
      <c r="J40" s="70">
        <f>'[1]2026年度男装汇总分析'!J40</f>
        <v>0</v>
      </c>
      <c r="K40" s="70">
        <f>'[1]2026年度男装汇总分析'!K40</f>
        <v>0</v>
      </c>
      <c r="L40" s="70">
        <f>'[1]2026年度男装汇总分析'!L40</f>
        <v>0</v>
      </c>
      <c r="M40" s="70">
        <f>'[1]2026年度男装汇总分析'!M40</f>
        <v>0</v>
      </c>
      <c r="N40" s="70">
        <f>'[1]2026年度男装汇总分析'!N40</f>
        <v>0</v>
      </c>
      <c r="O40" s="1">
        <f t="shared" si="5"/>
        <v>12580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0"/>
      <c r="CD40" s="70"/>
      <c r="CE40" s="113"/>
    </row>
    <row r="41" s="67" customFormat="1" spans="1:83">
      <c r="A41" s="73">
        <f>'[1]特别隐藏版（勿动、勿看）'!A41</f>
        <v>0</v>
      </c>
      <c r="B41" s="18" t="str">
        <f>'[1]特别隐藏版（勿动、勿看）'!B41</f>
        <v>GMV完成</v>
      </c>
      <c r="C41" s="18">
        <f>'[1]2026年度男装汇总分析'!C41</f>
        <v>29395955</v>
      </c>
      <c r="D41" s="18">
        <f>'[1]2026年度男装汇总分析'!D41</f>
        <v>54186589</v>
      </c>
      <c r="E41" s="18">
        <f>'[1]2026年度男装汇总分析'!E41</f>
        <v>29718775</v>
      </c>
      <c r="F41" s="18">
        <f>'[1]2026年度男装汇总分析'!F41</f>
        <v>40066145</v>
      </c>
      <c r="G41" s="18">
        <f>'[1]2026年度男装汇总分析'!G41</f>
        <v>25655595</v>
      </c>
      <c r="H41" s="18">
        <f>'[1]2026年度男装汇总分析'!H41</f>
        <v>14310210</v>
      </c>
      <c r="I41" s="18">
        <f>'[1]2026年度男装汇总分析'!I41</f>
        <v>0</v>
      </c>
      <c r="J41" s="18">
        <f>'[1]2026年度男装汇总分析'!J41</f>
        <v>0</v>
      </c>
      <c r="K41" s="18">
        <f>'[1]2026年度男装汇总分析'!K41</f>
        <v>0</v>
      </c>
      <c r="L41" s="18">
        <f>'[1]2026年度男装汇总分析'!L41</f>
        <v>0</v>
      </c>
      <c r="M41" s="18">
        <f>'[1]2026年度男装汇总分析'!M41</f>
        <v>0</v>
      </c>
      <c r="N41" s="18">
        <f>'[1]2026年度男装汇总分析'!N41</f>
        <v>0</v>
      </c>
      <c r="O41" s="83">
        <f t="shared" si="5"/>
        <v>193333269</v>
      </c>
      <c r="Q41" s="69"/>
      <c r="BP41" s="70"/>
      <c r="BQ41" s="2"/>
      <c r="BR41" s="2"/>
      <c r="BS41" s="2"/>
      <c r="BT41" s="3"/>
      <c r="BU41" s="3"/>
      <c r="BV41" s="3"/>
      <c r="BW41" s="24"/>
      <c r="BX41" s="24"/>
      <c r="BY41" s="24"/>
      <c r="BZ41" s="25"/>
      <c r="CA41" s="25"/>
      <c r="CB41" s="25"/>
      <c r="CC41" s="70"/>
      <c r="CD41" s="70"/>
      <c r="CE41" s="113"/>
    </row>
    <row r="42" s="67" customFormat="1" spans="1:83">
      <c r="A42" s="73">
        <f>'[1]特别隐藏版（勿动、勿看）'!A42</f>
        <v>0</v>
      </c>
      <c r="B42" s="77" t="str">
        <f>'[1]特别隐藏版（勿动、勿看）'!B42</f>
        <v>GSV完成</v>
      </c>
      <c r="C42" s="77">
        <f>'[1]2026年度男装汇总分析'!C42</f>
        <v>724801.18</v>
      </c>
      <c r="D42" s="77">
        <f>'[1]2026年度男装汇总分析'!D42</f>
        <v>1376012.34</v>
      </c>
      <c r="E42" s="77">
        <f>'[1]2026年度男装汇总分析'!E42</f>
        <v>729031.55</v>
      </c>
      <c r="F42" s="77">
        <f>'[1]2026年度男装汇总分析'!F42</f>
        <v>1044149.57</v>
      </c>
      <c r="G42" s="77">
        <f>'[1]2026年度男装汇总分析'!G42</f>
        <v>766748.3629</v>
      </c>
      <c r="H42" s="77">
        <f>'[1]2026年度男装汇总分析'!H42</f>
        <v>347084.5159</v>
      </c>
      <c r="I42" s="77">
        <f>'[1]2026年度男装汇总分析'!I42</f>
        <v>0</v>
      </c>
      <c r="J42" s="77">
        <f>'[1]2026年度男装汇总分析'!J42</f>
        <v>0</v>
      </c>
      <c r="K42" s="77">
        <f>'[1]2026年度男装汇总分析'!K42</f>
        <v>0</v>
      </c>
      <c r="L42" s="77">
        <f>'[1]2026年度男装汇总分析'!L42</f>
        <v>0</v>
      </c>
      <c r="M42" s="77">
        <f>'[1]2026年度男装汇总分析'!M42</f>
        <v>0</v>
      </c>
      <c r="N42" s="77">
        <f>'[1]2026年度男装汇总分析'!N42</f>
        <v>0</v>
      </c>
      <c r="O42" s="21">
        <f t="shared" si="5"/>
        <v>4987827.5188</v>
      </c>
      <c r="Q42" s="68"/>
      <c r="BP42" s="70"/>
      <c r="BQ42" s="70"/>
      <c r="BR42" s="70"/>
      <c r="BS42" s="70"/>
      <c r="BT42" s="70"/>
      <c r="BU42" s="70"/>
      <c r="BV42" s="70"/>
      <c r="BW42" s="70"/>
      <c r="BX42" s="70"/>
      <c r="BY42" s="70"/>
      <c r="BZ42" s="70"/>
      <c r="CA42" s="70"/>
      <c r="CB42" s="70"/>
      <c r="CC42" s="70"/>
      <c r="CD42" s="70"/>
      <c r="CE42" s="113"/>
    </row>
    <row r="43" s="67" customFormat="1" spans="1:83">
      <c r="A43" s="73">
        <f>'[1]特别隐藏版（勿动、勿看）'!A43</f>
        <v>0</v>
      </c>
      <c r="B43" s="70" t="str">
        <f>'[1]特别隐藏版（勿动、勿看）'!B43</f>
        <v>退款率</v>
      </c>
      <c r="C43" s="20">
        <f t="shared" ref="C43:O43" si="9">1-C42*12.5/C41</f>
        <v>0.6917938284366</v>
      </c>
      <c r="D43" s="20">
        <f t="shared" si="9"/>
        <v>0.682575438546243</v>
      </c>
      <c r="E43" s="20">
        <f t="shared" si="9"/>
        <v>0.693362382029542</v>
      </c>
      <c r="F43" s="20">
        <f t="shared" si="9"/>
        <v>0.674241941045239</v>
      </c>
      <c r="G43" s="20">
        <f t="shared" si="9"/>
        <v>0.626422441722751</v>
      </c>
      <c r="H43" s="20">
        <f t="shared" si="9"/>
        <v>0.696820909773511</v>
      </c>
      <c r="I43" s="20" t="e">
        <f t="shared" si="9"/>
        <v>#DIV/0!</v>
      </c>
      <c r="J43" s="20" t="e">
        <f t="shared" si="9"/>
        <v>#DIV/0!</v>
      </c>
      <c r="K43" s="20" t="e">
        <f t="shared" si="9"/>
        <v>#DIV/0!</v>
      </c>
      <c r="L43" s="20" t="e">
        <f t="shared" si="9"/>
        <v>#DIV/0!</v>
      </c>
      <c r="M43" s="20" t="e">
        <f t="shared" si="9"/>
        <v>#DIV/0!</v>
      </c>
      <c r="N43" s="20" t="e">
        <f t="shared" si="9"/>
        <v>#DIV/0!</v>
      </c>
      <c r="O43" s="20">
        <f t="shared" si="9"/>
        <v>0.677511044490744</v>
      </c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0"/>
      <c r="CD43" s="70"/>
      <c r="CE43" s="113"/>
    </row>
    <row r="44" s="67" customFormat="1" spans="1:83">
      <c r="A44" s="73">
        <f>'[1]特别隐藏版（勿动、勿看）'!A44</f>
        <v>0</v>
      </c>
      <c r="B44" s="70" t="str">
        <f>'[1]特别隐藏版（勿动、勿看）'!B44</f>
        <v>退货率</v>
      </c>
      <c r="C44" s="20">
        <f t="shared" ref="C44:O44" si="10">1-C40/C39</f>
        <v>0.701285422144318</v>
      </c>
      <c r="D44" s="20">
        <f t="shared" si="10"/>
        <v>0.721838707057581</v>
      </c>
      <c r="E44" s="20">
        <f t="shared" si="10"/>
        <v>0.719823510872991</v>
      </c>
      <c r="F44" s="20">
        <f t="shared" si="10"/>
        <v>0.706094401261687</v>
      </c>
      <c r="G44" s="20">
        <f t="shared" si="10"/>
        <v>0.693014705882353</v>
      </c>
      <c r="H44" s="20">
        <f t="shared" si="10"/>
        <v>0.687588152327221</v>
      </c>
      <c r="I44" s="20" t="e">
        <f t="shared" si="10"/>
        <v>#DIV/0!</v>
      </c>
      <c r="J44" s="20" t="e">
        <f t="shared" si="10"/>
        <v>#DIV/0!</v>
      </c>
      <c r="K44" s="20" t="e">
        <f t="shared" si="10"/>
        <v>#DIV/0!</v>
      </c>
      <c r="L44" s="20" t="e">
        <f t="shared" si="10"/>
        <v>#DIV/0!</v>
      </c>
      <c r="M44" s="20" t="e">
        <f t="shared" si="10"/>
        <v>#DIV/0!</v>
      </c>
      <c r="N44" s="20" t="e">
        <f t="shared" si="10"/>
        <v>#DIV/0!</v>
      </c>
      <c r="O44" s="20">
        <f t="shared" si="10"/>
        <v>0.708809777325124</v>
      </c>
      <c r="BP44" s="70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0"/>
      <c r="CD44" s="70"/>
      <c r="CE44" s="113"/>
    </row>
    <row r="45" s="67" customFormat="1" spans="1:82">
      <c r="A45" s="78">
        <f>'[1]特别隐藏版（勿动、勿看）'!A45</f>
        <v>0</v>
      </c>
      <c r="B45" s="70" t="str">
        <f>'[1]特别隐藏版（勿动、勿看）'!B45</f>
        <v>利润率</v>
      </c>
      <c r="C45" s="20">
        <f t="shared" ref="C45:O45" si="11">C38/(C42)</f>
        <v>0.12023949795446</v>
      </c>
      <c r="D45" s="20">
        <f t="shared" si="11"/>
        <v>0.159479020369832</v>
      </c>
      <c r="E45" s="20">
        <f t="shared" si="11"/>
        <v>0.0729351013683838</v>
      </c>
      <c r="F45" s="20">
        <f t="shared" si="11"/>
        <v>0.0948935984334122</v>
      </c>
      <c r="G45" s="20">
        <f t="shared" si="11"/>
        <v>0.137886828650463</v>
      </c>
      <c r="H45" s="20">
        <f t="shared" si="11"/>
        <v>0.112973202882095</v>
      </c>
      <c r="I45" s="20" t="e">
        <f t="shared" si="11"/>
        <v>#DIV/0!</v>
      </c>
      <c r="J45" s="20" t="e">
        <f t="shared" si="11"/>
        <v>#DIV/0!</v>
      </c>
      <c r="K45" s="20" t="e">
        <f t="shared" si="11"/>
        <v>#DIV/0!</v>
      </c>
      <c r="L45" s="20" t="e">
        <f t="shared" si="11"/>
        <v>#DIV/0!</v>
      </c>
      <c r="M45" s="20" t="e">
        <f t="shared" si="11"/>
        <v>#DIV/0!</v>
      </c>
      <c r="N45" s="20" t="e">
        <f t="shared" si="11"/>
        <v>#DIV/0!</v>
      </c>
      <c r="O45" s="20">
        <f t="shared" si="11"/>
        <v>0.121051836153003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7" customFormat="1" spans="1:82">
      <c r="A46" s="72" t="str">
        <f>'[1]特别隐藏版（勿动、勿看）'!A46</f>
        <v>LXTF4店</v>
      </c>
      <c r="B46" s="77" t="str">
        <f>'[1]特别隐藏版（勿动、勿看）'!B46</f>
        <v>实际利润（人民币）</v>
      </c>
      <c r="C46" s="77">
        <f>'[1]2026年度男装汇总分析'!C46</f>
        <v>19664.47</v>
      </c>
      <c r="D46" s="77">
        <f>'[1]2026年度男装汇总分析'!D46</f>
        <v>40558.93</v>
      </c>
      <c r="E46" s="77">
        <f>'[1]2026年度男装汇总分析'!E46</f>
        <v>3358.53</v>
      </c>
      <c r="F46" s="77">
        <f>'[1]2026年度男装汇总分析'!F46</f>
        <v>80999.07</v>
      </c>
      <c r="G46" s="77">
        <f>'[1]2026年度男装汇总分析'!G46</f>
        <v>54454.5906640612</v>
      </c>
      <c r="H46" s="77">
        <f>'[1]2026年度男装汇总分析'!H46</f>
        <v>22309.7621460236</v>
      </c>
      <c r="I46" s="77">
        <f>'[1]2026年度男装汇总分析'!I46</f>
        <v>0</v>
      </c>
      <c r="J46" s="77">
        <f>'[1]2026年度男装汇总分析'!J46</f>
        <v>0</v>
      </c>
      <c r="K46" s="77">
        <f>'[1]2026年度男装汇总分析'!K46</f>
        <v>0</v>
      </c>
      <c r="L46" s="77">
        <f>'[1]2026年度男装汇总分析'!L46</f>
        <v>0</v>
      </c>
      <c r="M46" s="77">
        <f>'[1]2026年度男装汇总分析'!M46</f>
        <v>0</v>
      </c>
      <c r="N46" s="77">
        <f>'[1]2026年度男装汇总分析'!N46</f>
        <v>0</v>
      </c>
      <c r="O46" s="21">
        <f t="shared" ref="O46:O50" si="12">SUM(C46:N46)</f>
        <v>221345.352810085</v>
      </c>
      <c r="BP46" s="70"/>
      <c r="BQ46" s="75"/>
      <c r="BR46" s="75"/>
      <c r="BS46" s="75"/>
      <c r="BT46" s="75"/>
      <c r="BU46" s="75"/>
      <c r="BV46" s="75"/>
      <c r="BW46" s="75"/>
      <c r="BX46" s="75"/>
      <c r="BY46" s="75"/>
      <c r="BZ46" s="75"/>
      <c r="CA46" s="75"/>
      <c r="CB46" s="75"/>
      <c r="CC46" s="114"/>
      <c r="CD46" s="115"/>
    </row>
    <row r="47" s="67" customFormat="1" spans="1:82">
      <c r="A47" s="73">
        <f>'[1]特别隐藏版（勿动、勿看）'!A47</f>
        <v>0</v>
      </c>
      <c r="B47" s="70" t="str">
        <f>'[1]特别隐藏版（勿动、勿看）'!B47</f>
        <v>销量完成</v>
      </c>
      <c r="C47" s="70">
        <f>'[1]2026年度男装汇总分析'!C47</f>
        <v>2218</v>
      </c>
      <c r="D47" s="70">
        <f>'[1]2026年度男装汇总分析'!D47</f>
        <v>5628</v>
      </c>
      <c r="E47" s="70">
        <f>'[1]2026年度男装汇总分析'!E47</f>
        <v>3837</v>
      </c>
      <c r="F47" s="70">
        <f>'[1]2026年度男装汇总分析'!F47</f>
        <v>6433</v>
      </c>
      <c r="G47" s="70">
        <f>'[1]2026年度男装汇总分析'!G47</f>
        <v>3603</v>
      </c>
      <c r="H47" s="70">
        <f>'[1]2026年度男装汇总分析'!H47</f>
        <v>1598</v>
      </c>
      <c r="I47" s="70">
        <f>'[1]2026年度男装汇总分析'!I47</f>
        <v>0</v>
      </c>
      <c r="J47" s="70">
        <f>'[1]2026年度男装汇总分析'!J47</f>
        <v>0</v>
      </c>
      <c r="K47" s="70">
        <f>'[1]2026年度男装汇总分析'!K47</f>
        <v>0</v>
      </c>
      <c r="L47" s="70">
        <f>'[1]2026年度男装汇总分析'!L47</f>
        <v>0</v>
      </c>
      <c r="M47" s="70">
        <f>'[1]2026年度男装汇总分析'!M47</f>
        <v>0</v>
      </c>
      <c r="N47" s="70">
        <f>'[1]2026年度男装汇总分析'!N47</f>
        <v>0</v>
      </c>
      <c r="O47" s="1">
        <f t="shared" si="12"/>
        <v>23317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7" customFormat="1" spans="1:82">
      <c r="A48" s="73">
        <f>'[1]特别隐藏版（勿动、勿看）'!A48</f>
        <v>0</v>
      </c>
      <c r="B48" s="70" t="str">
        <f>'[1]特别隐藏版（勿动、勿看）'!B48</f>
        <v>实销完成</v>
      </c>
      <c r="C48" s="70">
        <f>'[1]2026年度男装汇总分析'!C48</f>
        <v>652</v>
      </c>
      <c r="D48" s="70">
        <f>'[1]2026年度男装汇总分析'!D48</f>
        <v>1522</v>
      </c>
      <c r="E48" s="70">
        <f>'[1]2026年度男装汇总分析'!E48</f>
        <v>942</v>
      </c>
      <c r="F48" s="70">
        <f>'[1]2026年度男装汇总分析'!F48</f>
        <v>1816</v>
      </c>
      <c r="G48" s="70">
        <f>'[1]2026年度男装汇总分析'!G48</f>
        <v>1074</v>
      </c>
      <c r="H48" s="70">
        <f>'[1]2026年度男装汇总分析'!H48</f>
        <v>528</v>
      </c>
      <c r="I48" s="70">
        <f>'[1]2026年度男装汇总分析'!I48</f>
        <v>0</v>
      </c>
      <c r="J48" s="70">
        <f>'[1]2026年度男装汇总分析'!J48</f>
        <v>0</v>
      </c>
      <c r="K48" s="70">
        <f>'[1]2026年度男装汇总分析'!K48</f>
        <v>0</v>
      </c>
      <c r="L48" s="70">
        <f>'[1]2026年度男装汇总分析'!L48</f>
        <v>0</v>
      </c>
      <c r="M48" s="70">
        <f>'[1]2026年度男装汇总分析'!M48</f>
        <v>0</v>
      </c>
      <c r="N48" s="70">
        <f>'[1]2026年度男装汇总分析'!N48</f>
        <v>0</v>
      </c>
      <c r="O48" s="1">
        <f t="shared" si="12"/>
        <v>6534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7" customFormat="1" spans="1:82">
      <c r="A49" s="73">
        <f>'[1]特别隐藏版（勿动、勿看）'!A49</f>
        <v>0</v>
      </c>
      <c r="B49" s="18" t="str">
        <f>'[1]特别隐藏版（勿动、勿看）'!B49</f>
        <v>GMV完成</v>
      </c>
      <c r="C49" s="18">
        <f>'[1]2026年度男装汇总分析'!C49</f>
        <v>10051298</v>
      </c>
      <c r="D49" s="18">
        <f>'[1]2026年度男装汇总分析'!D49</f>
        <v>23601988</v>
      </c>
      <c r="E49" s="18">
        <f>'[1]2026年度男装汇总分析'!E49</f>
        <v>17122483</v>
      </c>
      <c r="F49" s="18">
        <f>'[1]2026年度男装汇总分析'!F49</f>
        <v>26000920</v>
      </c>
      <c r="G49" s="18">
        <f>'[1]2026年度男装汇总分析'!G49</f>
        <v>13595716</v>
      </c>
      <c r="H49" s="18">
        <f>'[1]2026年度男装汇总分析'!H49</f>
        <v>7421152</v>
      </c>
      <c r="I49" s="18">
        <f>'[1]2026年度男装汇总分析'!I49</f>
        <v>0</v>
      </c>
      <c r="J49" s="18">
        <f>'[1]2026年度男装汇总分析'!J49</f>
        <v>0</v>
      </c>
      <c r="K49" s="18">
        <f>'[1]2026年度男装汇总分析'!K49</f>
        <v>0</v>
      </c>
      <c r="L49" s="18">
        <f>'[1]2026年度男装汇总分析'!L49</f>
        <v>0</v>
      </c>
      <c r="M49" s="18">
        <f>'[1]2026年度男装汇总分析'!M49</f>
        <v>0</v>
      </c>
      <c r="N49" s="18">
        <f>'[1]2026年度男装汇总分析'!N49</f>
        <v>0</v>
      </c>
      <c r="O49" s="83">
        <f t="shared" si="12"/>
        <v>97793557</v>
      </c>
      <c r="Q49" s="69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7" customFormat="1" spans="1:82">
      <c r="A50" s="73">
        <f>'[1]特别隐藏版（勿动、勿看）'!A50</f>
        <v>0</v>
      </c>
      <c r="B50" s="77" t="str">
        <f>'[1]特别隐藏版（勿动、勿看）'!B50</f>
        <v>GSV完成</v>
      </c>
      <c r="C50" s="77">
        <f>'[1]2026年度男装汇总分析'!C50</f>
        <v>243663.93</v>
      </c>
      <c r="D50" s="77">
        <f>'[1]2026年度男装汇总分析'!D50</f>
        <v>559323.77</v>
      </c>
      <c r="E50" s="77">
        <f>'[1]2026年度男装汇总分析'!E50</f>
        <v>361220.61</v>
      </c>
      <c r="F50" s="77">
        <f>'[1]2026年度男装汇总分析'!F50</f>
        <v>658949.99</v>
      </c>
      <c r="G50" s="77">
        <f>'[1]2026年度男装汇总分析'!G50</f>
        <v>407799.909</v>
      </c>
      <c r="H50" s="77">
        <f>'[1]2026年度男装汇总分析'!H50</f>
        <v>191132.8153</v>
      </c>
      <c r="I50" s="77">
        <f>'[1]2026年度男装汇总分析'!I50</f>
        <v>0</v>
      </c>
      <c r="J50" s="77">
        <f>'[1]2026年度男装汇总分析'!J50</f>
        <v>0</v>
      </c>
      <c r="K50" s="77">
        <f>'[1]2026年度男装汇总分析'!K50</f>
        <v>0</v>
      </c>
      <c r="L50" s="77">
        <f>'[1]2026年度男装汇总分析'!L50</f>
        <v>0</v>
      </c>
      <c r="M50" s="77">
        <f>'[1]2026年度男装汇总分析'!M50</f>
        <v>0</v>
      </c>
      <c r="N50" s="77">
        <f>'[1]2026年度男装汇总分析'!N50</f>
        <v>0</v>
      </c>
      <c r="O50" s="21">
        <f t="shared" si="12"/>
        <v>2422091.0243</v>
      </c>
      <c r="Q50" s="68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7" customFormat="1" spans="1:80">
      <c r="A51" s="73">
        <f>'[1]特别隐藏版（勿动、勿看）'!A51</f>
        <v>0</v>
      </c>
      <c r="B51" s="70" t="str">
        <f>'[1]特别隐藏版（勿动、勿看）'!B51</f>
        <v>退款率</v>
      </c>
      <c r="C51" s="20">
        <f t="shared" ref="C51:O51" si="13">1-C50*12.5/C49</f>
        <v>0.696974547466407</v>
      </c>
      <c r="D51" s="20">
        <f t="shared" si="13"/>
        <v>0.70377295654078</v>
      </c>
      <c r="E51" s="20">
        <f t="shared" si="13"/>
        <v>0.736296562537104</v>
      </c>
      <c r="F51" s="20">
        <f t="shared" si="13"/>
        <v>0.683208329743717</v>
      </c>
      <c r="G51" s="20">
        <f t="shared" si="13"/>
        <v>0.62506580289703</v>
      </c>
      <c r="H51" s="20">
        <f t="shared" si="13"/>
        <v>0.678060738918971</v>
      </c>
      <c r="I51" s="20" t="e">
        <f t="shared" si="13"/>
        <v>#DIV/0!</v>
      </c>
      <c r="J51" s="20" t="e">
        <f t="shared" si="13"/>
        <v>#DIV/0!</v>
      </c>
      <c r="K51" s="20" t="e">
        <f t="shared" si="13"/>
        <v>#DIV/0!</v>
      </c>
      <c r="L51" s="20" t="e">
        <f t="shared" si="13"/>
        <v>#DIV/0!</v>
      </c>
      <c r="M51" s="20" t="e">
        <f t="shared" si="13"/>
        <v>#DIV/0!</v>
      </c>
      <c r="N51" s="20" t="e">
        <f t="shared" si="13"/>
        <v>#DIV/0!</v>
      </c>
      <c r="O51" s="20">
        <f t="shared" si="13"/>
        <v>0.690407643074584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7" customFormat="1" spans="1:15">
      <c r="A52" s="73">
        <f>'[1]特别隐藏版（勿动、勿看）'!A52</f>
        <v>0</v>
      </c>
      <c r="B52" s="70" t="str">
        <f>'[1]特别隐藏版（勿动、勿看）'!B52</f>
        <v>退货率</v>
      </c>
      <c r="C52" s="20">
        <f t="shared" ref="C52:O52" si="14">1-C48/C47</f>
        <v>0.706041478809738</v>
      </c>
      <c r="D52" s="20">
        <f t="shared" si="14"/>
        <v>0.729566453447051</v>
      </c>
      <c r="E52" s="20">
        <f t="shared" si="14"/>
        <v>0.754495699765442</v>
      </c>
      <c r="F52" s="20">
        <f t="shared" si="14"/>
        <v>0.717705580600031</v>
      </c>
      <c r="G52" s="20">
        <f t="shared" si="14"/>
        <v>0.701915070774355</v>
      </c>
      <c r="H52" s="20">
        <f t="shared" si="14"/>
        <v>0.669586983729662</v>
      </c>
      <c r="I52" s="20" t="e">
        <f t="shared" si="14"/>
        <v>#DIV/0!</v>
      </c>
      <c r="J52" s="20" t="e">
        <f t="shared" si="14"/>
        <v>#DIV/0!</v>
      </c>
      <c r="K52" s="20" t="e">
        <f t="shared" si="14"/>
        <v>#DIV/0!</v>
      </c>
      <c r="L52" s="20" t="e">
        <f t="shared" si="14"/>
        <v>#DIV/0!</v>
      </c>
      <c r="M52" s="20" t="e">
        <f t="shared" si="14"/>
        <v>#DIV/0!</v>
      </c>
      <c r="N52" s="20" t="e">
        <f t="shared" si="14"/>
        <v>#DIV/0!</v>
      </c>
      <c r="O52" s="20">
        <f t="shared" si="14"/>
        <v>0.719775271261311</v>
      </c>
    </row>
    <row r="53" s="67" customFormat="1" spans="1:15">
      <c r="A53" s="78">
        <f>'[1]特别隐藏版（勿动、勿看）'!A53</f>
        <v>0</v>
      </c>
      <c r="B53" s="70" t="str">
        <f>'[1]特别隐藏版（勿动、勿看）'!B53</f>
        <v>利润率</v>
      </c>
      <c r="C53" s="20">
        <f t="shared" ref="C53:O53" si="15">C46/(C50)</f>
        <v>0.0807032456547836</v>
      </c>
      <c r="D53" s="20">
        <f t="shared" si="15"/>
        <v>0.0725142255262994</v>
      </c>
      <c r="E53" s="20">
        <f t="shared" si="15"/>
        <v>0.00929772528760195</v>
      </c>
      <c r="F53" s="20">
        <f t="shared" si="15"/>
        <v>0.122921422307025</v>
      </c>
      <c r="G53" s="20">
        <f t="shared" si="15"/>
        <v>0.133532620930676</v>
      </c>
      <c r="H53" s="20">
        <f t="shared" si="15"/>
        <v>0.116723871361422</v>
      </c>
      <c r="I53" s="20" t="e">
        <f t="shared" si="15"/>
        <v>#DIV/0!</v>
      </c>
      <c r="J53" s="20" t="e">
        <f t="shared" si="15"/>
        <v>#DIV/0!</v>
      </c>
      <c r="K53" s="20" t="e">
        <f t="shared" si="15"/>
        <v>#DIV/0!</v>
      </c>
      <c r="L53" s="20" t="e">
        <f t="shared" si="15"/>
        <v>#DIV/0!</v>
      </c>
      <c r="M53" s="20" t="e">
        <f t="shared" si="15"/>
        <v>#DIV/0!</v>
      </c>
      <c r="N53" s="20" t="e">
        <f t="shared" si="15"/>
        <v>#DIV/0!</v>
      </c>
      <c r="O53" s="20">
        <f t="shared" si="15"/>
        <v>0.0913860588183531</v>
      </c>
    </row>
    <row r="54" s="67" customFormat="1" spans="1:15">
      <c r="A54" s="72" t="str">
        <f>'[1]特别隐藏版（勿动、勿看）'!A54</f>
        <v>MYTF1店</v>
      </c>
      <c r="B54" s="77" t="str">
        <f>'[1]特别隐藏版（勿动、勿看）'!B54</f>
        <v>实际利润（人民币）</v>
      </c>
      <c r="C54" s="77">
        <f>'[1]2026年度男装汇总分析'!C54</f>
        <v>99524.69</v>
      </c>
      <c r="D54" s="77">
        <f>'[1]2026年度男装汇总分析'!D54</f>
        <v>105771.87</v>
      </c>
      <c r="E54" s="77">
        <f>'[1]2026年度男装汇总分析'!E54</f>
        <v>62174.49</v>
      </c>
      <c r="F54" s="77">
        <f>'[1]2026年度男装汇总分析'!F54</f>
        <v>53475.37</v>
      </c>
      <c r="G54" s="77">
        <f>'[1]2026年度男装汇总分析'!G54</f>
        <v>48725.1896029472</v>
      </c>
      <c r="H54" s="77">
        <f>'[1]2026年度男装汇总分析'!H54</f>
        <v>29961.5151456268</v>
      </c>
      <c r="I54" s="77">
        <f>'[1]2026年度男装汇总分析'!I54</f>
        <v>0</v>
      </c>
      <c r="J54" s="77">
        <f>'[1]2026年度男装汇总分析'!J54</f>
        <v>0</v>
      </c>
      <c r="K54" s="77">
        <f>'[1]2026年度男装汇总分析'!K54</f>
        <v>0</v>
      </c>
      <c r="L54" s="77">
        <f>'[1]2026年度男装汇总分析'!L54</f>
        <v>0</v>
      </c>
      <c r="M54" s="77">
        <f>'[1]2026年度男装汇总分析'!M54</f>
        <v>0</v>
      </c>
      <c r="N54" s="77">
        <f>'[1]2026年度男装汇总分析'!N54</f>
        <v>0</v>
      </c>
      <c r="O54" s="21">
        <f t="shared" ref="O54:O58" si="16">SUM(C54:N54)</f>
        <v>399633.124748574</v>
      </c>
    </row>
    <row r="55" s="67" customFormat="1" spans="1:15">
      <c r="A55" s="73">
        <f>'[1]特别隐藏版（勿动、勿看）'!A55</f>
        <v>0</v>
      </c>
      <c r="B55" s="70" t="str">
        <f>'[1]特别隐藏版（勿动、勿看）'!B55</f>
        <v>销量完成</v>
      </c>
      <c r="C55" s="70">
        <f>'[1]2026年度男装汇总分析'!C55</f>
        <v>3988</v>
      </c>
      <c r="D55" s="70">
        <f>'[1]2026年度男装汇总分析'!D55</f>
        <v>5239</v>
      </c>
      <c r="E55" s="70">
        <f>'[1]2026年度男装汇总分析'!E55</f>
        <v>3137</v>
      </c>
      <c r="F55" s="70">
        <f>'[1]2026年度男装汇总分析'!F55</f>
        <v>3410</v>
      </c>
      <c r="G55" s="70">
        <f>'[1]2026年度男装汇总分析'!G55</f>
        <v>1803</v>
      </c>
      <c r="H55" s="70">
        <f>'[1]2026年度男装汇总分析'!H55</f>
        <v>986</v>
      </c>
      <c r="I55" s="70">
        <f>'[1]2026年度男装汇总分析'!I55</f>
        <v>0</v>
      </c>
      <c r="J55" s="70">
        <f>'[1]2026年度男装汇总分析'!J55</f>
        <v>0</v>
      </c>
      <c r="K55" s="70">
        <f>'[1]2026年度男装汇总分析'!K55</f>
        <v>0</v>
      </c>
      <c r="L55" s="70">
        <f>'[1]2026年度男装汇总分析'!L55</f>
        <v>0</v>
      </c>
      <c r="M55" s="70">
        <f>'[1]2026年度男装汇总分析'!M55</f>
        <v>0</v>
      </c>
      <c r="N55" s="70">
        <f>'[1]2026年度男装汇总分析'!N55</f>
        <v>0</v>
      </c>
      <c r="O55" s="1">
        <f t="shared" si="16"/>
        <v>18563</v>
      </c>
    </row>
    <row r="56" s="67" customFormat="1" spans="1:15">
      <c r="A56" s="73">
        <f>'[1]特别隐藏版（勿动、勿看）'!A56</f>
        <v>0</v>
      </c>
      <c r="B56" s="70" t="str">
        <f>'[1]特别隐藏版（勿动、勿看）'!B56</f>
        <v>实销完成</v>
      </c>
      <c r="C56" s="70">
        <f>'[1]2026年度男装汇总分析'!C56</f>
        <v>1501</v>
      </c>
      <c r="D56" s="70">
        <f>'[1]2026年度男装汇总分析'!D56</f>
        <v>1832</v>
      </c>
      <c r="E56" s="70">
        <f>'[1]2026年度男装汇总分析'!E56</f>
        <v>1160</v>
      </c>
      <c r="F56" s="70">
        <f>'[1]2026年度男装汇总分析'!F56</f>
        <v>1234</v>
      </c>
      <c r="G56" s="70">
        <f>'[1]2026年度男装汇总分析'!G56</f>
        <v>727</v>
      </c>
      <c r="H56" s="70">
        <f>'[1]2026年度男装汇总分析'!H56</f>
        <v>486</v>
      </c>
      <c r="I56" s="70">
        <f>'[1]2026年度男装汇总分析'!I56</f>
        <v>0</v>
      </c>
      <c r="J56" s="70">
        <f>'[1]2026年度男装汇总分析'!J56</f>
        <v>0</v>
      </c>
      <c r="K56" s="70">
        <f>'[1]2026年度男装汇总分析'!K56</f>
        <v>0</v>
      </c>
      <c r="L56" s="70">
        <f>'[1]2026年度男装汇总分析'!L56</f>
        <v>0</v>
      </c>
      <c r="M56" s="70">
        <f>'[1]2026年度男装汇总分析'!M56</f>
        <v>0</v>
      </c>
      <c r="N56" s="70">
        <f>'[1]2026年度男装汇总分析'!N56</f>
        <v>0</v>
      </c>
      <c r="O56" s="1">
        <f t="shared" si="16"/>
        <v>6940</v>
      </c>
    </row>
    <row r="57" s="67" customFormat="1" spans="1:17">
      <c r="A57" s="73">
        <f>'[1]特别隐藏版（勿动、勿看）'!A57</f>
        <v>0</v>
      </c>
      <c r="B57" s="18" t="str">
        <f>'[1]特别隐藏版（勿动、勿看）'!B57</f>
        <v>GMV完成</v>
      </c>
      <c r="C57" s="18">
        <f>'[1]2026年度男装汇总分析'!C57</f>
        <v>16832263</v>
      </c>
      <c r="D57" s="18">
        <f>'[1]2026年度男装汇总分析'!D57</f>
        <v>19448036</v>
      </c>
      <c r="E57" s="18">
        <f>'[1]2026年度男装汇总分析'!E57</f>
        <v>13554454</v>
      </c>
      <c r="F57" s="18">
        <f>'[1]2026年度男装汇总分析'!F57</f>
        <v>13881751</v>
      </c>
      <c r="G57" s="18">
        <f>'[1]2026年度男装汇总分析'!G57</f>
        <v>7572312</v>
      </c>
      <c r="H57" s="18">
        <f>'[1]2026年度男装汇总分析'!H57</f>
        <v>6083630</v>
      </c>
      <c r="I57" s="18">
        <f>'[1]2026年度男装汇总分析'!I57</f>
        <v>0</v>
      </c>
      <c r="J57" s="18">
        <f>'[1]2026年度男装汇总分析'!J57</f>
        <v>0</v>
      </c>
      <c r="K57" s="18">
        <f>'[1]2026年度男装汇总分析'!K57</f>
        <v>0</v>
      </c>
      <c r="L57" s="18">
        <f>'[1]2026年度男装汇总分析'!L57</f>
        <v>0</v>
      </c>
      <c r="M57" s="18">
        <f>'[1]2026年度男装汇总分析'!M57</f>
        <v>0</v>
      </c>
      <c r="N57" s="18">
        <f>'[1]2026年度男装汇总分析'!N57</f>
        <v>0</v>
      </c>
      <c r="O57" s="83">
        <f t="shared" si="16"/>
        <v>77372446</v>
      </c>
      <c r="Q57" s="69"/>
    </row>
    <row r="58" s="67" customFormat="1" spans="1:17">
      <c r="A58" s="73">
        <f>'[1]特别隐藏版（勿动、勿看）'!A58</f>
        <v>0</v>
      </c>
      <c r="B58" s="77" t="str">
        <f>'[1]特别隐藏版（勿动、勿看）'!B58</f>
        <v>GSV完成</v>
      </c>
      <c r="C58" s="77">
        <f>'[1]2026年度男装汇总分析'!C58</f>
        <v>551767.3</v>
      </c>
      <c r="D58" s="77">
        <f>'[1]2026年度男装汇总分析'!D58</f>
        <v>664346.07</v>
      </c>
      <c r="E58" s="77">
        <f>'[1]2026年度男装汇总分析'!E58</f>
        <v>428659.36</v>
      </c>
      <c r="F58" s="77">
        <f>'[1]2026年度男装汇总分析'!F58</f>
        <v>463880.75</v>
      </c>
      <c r="G58" s="77">
        <f>'[1]2026年度男装汇总分析'!G58</f>
        <v>288656.431</v>
      </c>
      <c r="H58" s="77">
        <f>'[1]2026年度男装汇总分析'!H58</f>
        <v>180213.9998</v>
      </c>
      <c r="I58" s="77">
        <f>'[1]2026年度男装汇总分析'!I58</f>
        <v>0</v>
      </c>
      <c r="J58" s="77">
        <f>'[1]2026年度男装汇总分析'!J58</f>
        <v>0</v>
      </c>
      <c r="K58" s="77">
        <f>'[1]2026年度男装汇总分析'!K58</f>
        <v>0</v>
      </c>
      <c r="L58" s="77">
        <f>'[1]2026年度男装汇总分析'!L58</f>
        <v>0</v>
      </c>
      <c r="M58" s="77">
        <f>'[1]2026年度男装汇总分析'!M58</f>
        <v>0</v>
      </c>
      <c r="N58" s="77">
        <f>'[1]2026年度男装汇总分析'!N58</f>
        <v>0</v>
      </c>
      <c r="O58" s="21">
        <f t="shared" si="16"/>
        <v>2577523.9108</v>
      </c>
      <c r="Q58" s="68"/>
    </row>
    <row r="59" s="67" customFormat="1" spans="1:15">
      <c r="A59" s="73">
        <f>'[1]特别隐藏版（勿动、勿看）'!A59</f>
        <v>0</v>
      </c>
      <c r="B59" s="70" t="str">
        <f>'[1]特别隐藏版（勿动、勿看）'!B59</f>
        <v>退款率</v>
      </c>
      <c r="C59" s="20">
        <f t="shared" ref="C59:O59" si="17">1-C58*12.5/C57</f>
        <v>0.590245753051744</v>
      </c>
      <c r="D59" s="20">
        <f t="shared" si="17"/>
        <v>0.572999254269172</v>
      </c>
      <c r="E59" s="20">
        <f t="shared" si="17"/>
        <v>0.604687728476558</v>
      </c>
      <c r="F59" s="20">
        <f t="shared" si="17"/>
        <v>0.582292653498827</v>
      </c>
      <c r="G59" s="20">
        <f t="shared" si="17"/>
        <v>0.523500169102911</v>
      </c>
      <c r="H59" s="20">
        <f t="shared" si="17"/>
        <v>0.62971531840365</v>
      </c>
      <c r="I59" s="20" t="e">
        <f t="shared" si="17"/>
        <v>#DIV/0!</v>
      </c>
      <c r="J59" s="20" t="e">
        <f t="shared" si="17"/>
        <v>#DIV/0!</v>
      </c>
      <c r="K59" s="20" t="e">
        <f t="shared" si="17"/>
        <v>#DIV/0!</v>
      </c>
      <c r="L59" s="20" t="e">
        <f t="shared" si="17"/>
        <v>#DIV/0!</v>
      </c>
      <c r="M59" s="20" t="e">
        <f t="shared" si="17"/>
        <v>#DIV/0!</v>
      </c>
      <c r="N59" s="20" t="e">
        <f t="shared" si="17"/>
        <v>#DIV/0!</v>
      </c>
      <c r="O59" s="20">
        <f t="shared" si="17"/>
        <v>0.583584976943859</v>
      </c>
    </row>
    <row r="60" s="67" customFormat="1" spans="1:15">
      <c r="A60" s="73">
        <f>'[1]特别隐藏版（勿动、勿看）'!A60</f>
        <v>0</v>
      </c>
      <c r="B60" s="70" t="str">
        <f>'[1]特别隐藏版（勿动、勿看）'!B60</f>
        <v>退货率</v>
      </c>
      <c r="C60" s="20">
        <f t="shared" ref="C60:O60" si="18">1-C56/C55</f>
        <v>0.623620862587763</v>
      </c>
      <c r="D60" s="20">
        <f t="shared" si="18"/>
        <v>0.650314945600305</v>
      </c>
      <c r="E60" s="20">
        <f t="shared" si="18"/>
        <v>0.630219955371374</v>
      </c>
      <c r="F60" s="20">
        <f t="shared" si="18"/>
        <v>0.638123167155425</v>
      </c>
      <c r="G60" s="20">
        <f t="shared" si="18"/>
        <v>0.596783139212424</v>
      </c>
      <c r="H60" s="20">
        <f t="shared" si="18"/>
        <v>0.50709939148073</v>
      </c>
      <c r="I60" s="20" t="e">
        <f t="shared" si="18"/>
        <v>#DIV/0!</v>
      </c>
      <c r="J60" s="20" t="e">
        <f t="shared" si="18"/>
        <v>#DIV/0!</v>
      </c>
      <c r="K60" s="20" t="e">
        <f t="shared" si="18"/>
        <v>#DIV/0!</v>
      </c>
      <c r="L60" s="20" t="e">
        <f t="shared" si="18"/>
        <v>#DIV/0!</v>
      </c>
      <c r="M60" s="20" t="e">
        <f t="shared" si="18"/>
        <v>#DIV/0!</v>
      </c>
      <c r="N60" s="20" t="e">
        <f t="shared" si="18"/>
        <v>#DIV/0!</v>
      </c>
      <c r="O60" s="20">
        <f t="shared" si="18"/>
        <v>0.626138016484404</v>
      </c>
    </row>
    <row r="61" s="67" customFormat="1" spans="1:15">
      <c r="A61" s="78">
        <f>'[1]特别隐藏版（勿动、勿看）'!A61</f>
        <v>0</v>
      </c>
      <c r="B61" s="70" t="str">
        <f>'[1]特别隐藏版（勿动、勿看）'!B61</f>
        <v>利润率</v>
      </c>
      <c r="C61" s="20">
        <f t="shared" ref="C61:O61" si="19">C54/(C58)</f>
        <v>0.180374389711025</v>
      </c>
      <c r="D61" s="20">
        <f t="shared" si="19"/>
        <v>0.159212005273095</v>
      </c>
      <c r="E61" s="20">
        <f t="shared" si="19"/>
        <v>0.145044050828611</v>
      </c>
      <c r="F61" s="20">
        <f t="shared" si="19"/>
        <v>0.115278269253467</v>
      </c>
      <c r="G61" s="20">
        <f t="shared" si="19"/>
        <v>0.168799944744509</v>
      </c>
      <c r="H61" s="20">
        <f t="shared" si="19"/>
        <v>0.166255203141142</v>
      </c>
      <c r="I61" s="20" t="e">
        <f t="shared" si="19"/>
        <v>#DIV/0!</v>
      </c>
      <c r="J61" s="20" t="e">
        <f t="shared" si="19"/>
        <v>#DIV/0!</v>
      </c>
      <c r="K61" s="20" t="e">
        <f t="shared" si="19"/>
        <v>#DIV/0!</v>
      </c>
      <c r="L61" s="20" t="e">
        <f t="shared" si="19"/>
        <v>#DIV/0!</v>
      </c>
      <c r="M61" s="20" t="e">
        <f t="shared" si="19"/>
        <v>#DIV/0!</v>
      </c>
      <c r="N61" s="20" t="e">
        <f t="shared" si="19"/>
        <v>#DIV/0!</v>
      </c>
      <c r="O61" s="20">
        <f t="shared" si="19"/>
        <v>0.155045360810848</v>
      </c>
    </row>
    <row r="62" s="67" customFormat="1" spans="1:15">
      <c r="A62" s="72" t="str">
        <f>'[1]特别隐藏版（勿动、勿看）'!A62</f>
        <v>Z-NZTF1店</v>
      </c>
      <c r="B62" s="77" t="str">
        <f>'[1]特别隐藏版（勿动、勿看）'!B62</f>
        <v>实际利润（人民币）</v>
      </c>
      <c r="C62" s="77">
        <f>'[1]2026年度男装汇总分析'!C62</f>
        <v>63564.22</v>
      </c>
      <c r="D62" s="77">
        <f>'[1]2026年度男装汇总分析'!D62</f>
        <v>186252.86</v>
      </c>
      <c r="E62" s="77">
        <f>'[1]2026年度男装汇总分析'!E62</f>
        <v>23902.22</v>
      </c>
      <c r="F62" s="77">
        <f>'[1]2026年度男装汇总分析'!F62</f>
        <v>154982.1</v>
      </c>
      <c r="G62" s="77">
        <f>'[1]2026年度男装汇总分析'!G62</f>
        <v>58803.505650204</v>
      </c>
      <c r="H62" s="77">
        <f>'[1]2026年度男装汇总分析'!H62</f>
        <v>33708.680535336</v>
      </c>
      <c r="I62" s="77">
        <f>'[1]2026年度男装汇总分析'!I62</f>
        <v>0</v>
      </c>
      <c r="J62" s="77">
        <f>'[1]2026年度男装汇总分析'!J62</f>
        <v>0</v>
      </c>
      <c r="K62" s="77">
        <f>'[1]2026年度男装汇总分析'!K62</f>
        <v>0</v>
      </c>
      <c r="L62" s="77">
        <f>'[1]2026年度男装汇总分析'!L62</f>
        <v>0</v>
      </c>
      <c r="M62" s="77">
        <f>'[1]2026年度男装汇总分析'!M62</f>
        <v>0</v>
      </c>
      <c r="N62" s="77">
        <f>'[1]2026年度男装汇总分析'!N62</f>
        <v>0</v>
      </c>
      <c r="O62" s="21">
        <f t="shared" ref="O62:O66" si="20">SUM(C62:N62)</f>
        <v>521213.58618554</v>
      </c>
    </row>
    <row r="63" s="67" customFormat="1" spans="1:15">
      <c r="A63" s="73">
        <f>'[1]特别隐藏版（勿动、勿看）'!A63</f>
        <v>0</v>
      </c>
      <c r="B63" s="70" t="str">
        <f>'[1]特别隐藏版（勿动、勿看）'!B63</f>
        <v>销量完成</v>
      </c>
      <c r="C63" s="70">
        <f>'[1]2026年度男装汇总分析'!C63</f>
        <v>3019</v>
      </c>
      <c r="D63" s="70">
        <f>'[1]2026年度男装汇总分析'!D63</f>
        <v>10048</v>
      </c>
      <c r="E63" s="70">
        <f>'[1]2026年度男装汇总分析'!E63</f>
        <v>5984</v>
      </c>
      <c r="F63" s="70">
        <f>'[1]2026年度男装汇总分析'!F63</f>
        <v>11196</v>
      </c>
      <c r="G63" s="70">
        <f>'[1]2026年度男装汇总分析'!G63</f>
        <v>7971</v>
      </c>
      <c r="H63" s="70">
        <f>'[1]2026年度男装汇总分析'!H63</f>
        <v>3105</v>
      </c>
      <c r="I63" s="70">
        <f>'[1]2026年度男装汇总分析'!I63</f>
        <v>0</v>
      </c>
      <c r="J63" s="70">
        <f>'[1]2026年度男装汇总分析'!J63</f>
        <v>0</v>
      </c>
      <c r="K63" s="70">
        <f>'[1]2026年度男装汇总分析'!K63</f>
        <v>0</v>
      </c>
      <c r="L63" s="70">
        <f>'[1]2026年度男装汇总分析'!L63</f>
        <v>0</v>
      </c>
      <c r="M63" s="70">
        <f>'[1]2026年度男装汇总分析'!M63</f>
        <v>0</v>
      </c>
      <c r="N63" s="70">
        <f>'[1]2026年度男装汇总分析'!N63</f>
        <v>0</v>
      </c>
      <c r="O63" s="1">
        <f t="shared" si="20"/>
        <v>41323</v>
      </c>
    </row>
    <row r="64" s="67" customFormat="1" spans="1:15">
      <c r="A64" s="73">
        <f>'[1]特别隐藏版（勿动、勿看）'!A64</f>
        <v>0</v>
      </c>
      <c r="B64" s="70" t="str">
        <f>'[1]特别隐藏版（勿动、勿看）'!B64</f>
        <v>实销完成</v>
      </c>
      <c r="C64" s="70">
        <f>'[1]2026年度男装汇总分析'!C64</f>
        <v>782</v>
      </c>
      <c r="D64" s="70">
        <f>'[1]2026年度男装汇总分析'!D64</f>
        <v>2400</v>
      </c>
      <c r="E64" s="70">
        <f>'[1]2026年度男装汇总分析'!E64</f>
        <v>1177</v>
      </c>
      <c r="F64" s="70">
        <f>'[1]2026年度男装汇总分析'!F64</f>
        <v>2441</v>
      </c>
      <c r="G64" s="70">
        <f>'[1]2026年度男装汇总分析'!G64</f>
        <v>1758</v>
      </c>
      <c r="H64" s="70">
        <f>'[1]2026年度男装汇总分析'!H64</f>
        <v>895</v>
      </c>
      <c r="I64" s="70">
        <f>'[1]2026年度男装汇总分析'!I64</f>
        <v>0</v>
      </c>
      <c r="J64" s="70">
        <f>'[1]2026年度男装汇总分析'!J64</f>
        <v>0</v>
      </c>
      <c r="K64" s="70">
        <f>'[1]2026年度男装汇总分析'!K64</f>
        <v>0</v>
      </c>
      <c r="L64" s="70">
        <f>'[1]2026年度男装汇总分析'!L64</f>
        <v>0</v>
      </c>
      <c r="M64" s="70">
        <f>'[1]2026年度男装汇总分析'!M64</f>
        <v>0</v>
      </c>
      <c r="N64" s="70">
        <f>'[1]2026年度男装汇总分析'!N64</f>
        <v>0</v>
      </c>
      <c r="O64" s="1">
        <f t="shared" si="20"/>
        <v>9453</v>
      </c>
    </row>
    <row r="65" s="67" customFormat="1" spans="1:17">
      <c r="A65" s="73">
        <f>'[1]特别隐藏版（勿动、勿看）'!A65</f>
        <v>0</v>
      </c>
      <c r="B65" s="18" t="str">
        <f>'[1]特别隐藏版（勿动、勿看）'!B65</f>
        <v>GMV完成</v>
      </c>
      <c r="C65" s="18">
        <f>'[1]2026年度男装汇总分析'!C65</f>
        <v>17294018</v>
      </c>
      <c r="D65" s="18">
        <f>'[1]2026年度男装汇总分析'!D65</f>
        <v>50353143</v>
      </c>
      <c r="E65" s="18">
        <f>'[1]2026年度男装汇总分析'!E65</f>
        <v>30943005</v>
      </c>
      <c r="F65" s="18">
        <f>'[1]2026年度男装汇总分析'!F65</f>
        <v>56092797</v>
      </c>
      <c r="G65" s="18">
        <f>'[1]2026年度男装汇总分析'!G65</f>
        <v>36922189</v>
      </c>
      <c r="H65" s="18">
        <f>'[1]2026年度男装汇总分析'!H65</f>
        <v>18659291</v>
      </c>
      <c r="I65" s="18">
        <f>'[1]2026年度男装汇总分析'!I65</f>
        <v>0</v>
      </c>
      <c r="J65" s="18">
        <f>'[1]2026年度男装汇总分析'!J65</f>
        <v>0</v>
      </c>
      <c r="K65" s="18">
        <f>'[1]2026年度男装汇总分析'!K65</f>
        <v>0</v>
      </c>
      <c r="L65" s="18">
        <f>'[1]2026年度男装汇总分析'!L65</f>
        <v>0</v>
      </c>
      <c r="M65" s="18">
        <f>'[1]2026年度男装汇总分析'!M65</f>
        <v>0</v>
      </c>
      <c r="N65" s="18">
        <f>'[1]2026年度男装汇总分析'!N65</f>
        <v>0</v>
      </c>
      <c r="O65" s="83">
        <f t="shared" si="20"/>
        <v>210264443</v>
      </c>
      <c r="Q65" s="69"/>
    </row>
    <row r="66" s="67" customFormat="1" spans="1:17">
      <c r="A66" s="73">
        <f>'[1]特别隐藏版（勿动、勿看）'!A66</f>
        <v>0</v>
      </c>
      <c r="B66" s="77" t="str">
        <f>'[1]特别隐藏版（勿动、勿看）'!B66</f>
        <v>GSV完成</v>
      </c>
      <c r="C66" s="77">
        <f>'[1]2026年度男装汇总分析'!C66</f>
        <v>324669.67</v>
      </c>
      <c r="D66" s="77">
        <f>'[1]2026年度男装汇总分析'!D66</f>
        <v>1018496.8</v>
      </c>
      <c r="E66" s="77">
        <f>'[1]2026年度男装汇总分析'!E66</f>
        <v>504766.74</v>
      </c>
      <c r="F66" s="77">
        <f>'[1]2026年度男装汇总分析'!F66</f>
        <v>1069518.42</v>
      </c>
      <c r="G66" s="77">
        <f>'[1]2026年度男装汇总分析'!G66</f>
        <v>797308.5406</v>
      </c>
      <c r="H66" s="77">
        <f>'[1]2026年度男装汇总分析'!H66</f>
        <v>388343.4578</v>
      </c>
      <c r="I66" s="77">
        <f>'[1]2026年度男装汇总分析'!I66</f>
        <v>0</v>
      </c>
      <c r="J66" s="77">
        <f>'[1]2026年度男装汇总分析'!J66</f>
        <v>0</v>
      </c>
      <c r="K66" s="77">
        <f>'[1]2026年度男装汇总分析'!K66</f>
        <v>0</v>
      </c>
      <c r="L66" s="77">
        <f>'[1]2026年度男装汇总分析'!L66</f>
        <v>0</v>
      </c>
      <c r="M66" s="77">
        <f>'[1]2026年度男装汇总分析'!M66</f>
        <v>0</v>
      </c>
      <c r="N66" s="77">
        <f>'[1]2026年度男装汇总分析'!N66</f>
        <v>0</v>
      </c>
      <c r="O66" s="21">
        <f t="shared" si="20"/>
        <v>4103103.6284</v>
      </c>
      <c r="Q66" s="68"/>
    </row>
    <row r="67" s="67" customFormat="1" spans="1:15">
      <c r="A67" s="73">
        <f>'[1]特别隐藏版（勿动、勿看）'!A67</f>
        <v>0</v>
      </c>
      <c r="B67" s="70" t="str">
        <f>'[1]特别隐藏版（勿动、勿看）'!B67</f>
        <v>退款率</v>
      </c>
      <c r="C67" s="20">
        <f t="shared" ref="C67:O67" si="21">1-C66*12.5/C65</f>
        <v>0.765330944202787</v>
      </c>
      <c r="D67" s="20">
        <f t="shared" si="21"/>
        <v>0.747161562486775</v>
      </c>
      <c r="E67" s="20">
        <f t="shared" si="21"/>
        <v>0.796090126023636</v>
      </c>
      <c r="F67" s="20">
        <f t="shared" si="21"/>
        <v>0.761663155253249</v>
      </c>
      <c r="G67" s="20">
        <f t="shared" si="21"/>
        <v>0.730071346595945</v>
      </c>
      <c r="H67" s="20">
        <f t="shared" si="21"/>
        <v>0.739845783931447</v>
      </c>
      <c r="I67" s="20" t="e">
        <f t="shared" si="21"/>
        <v>#DIV/0!</v>
      </c>
      <c r="J67" s="20" t="e">
        <f t="shared" si="21"/>
        <v>#DIV/0!</v>
      </c>
      <c r="K67" s="20" t="e">
        <f t="shared" si="21"/>
        <v>#DIV/0!</v>
      </c>
      <c r="L67" s="20" t="e">
        <f t="shared" si="21"/>
        <v>#DIV/0!</v>
      </c>
      <c r="M67" s="20" t="e">
        <f t="shared" si="21"/>
        <v>#DIV/0!</v>
      </c>
      <c r="N67" s="20" t="e">
        <f t="shared" si="21"/>
        <v>#DIV/0!</v>
      </c>
      <c r="O67" s="20">
        <f t="shared" si="21"/>
        <v>0.756074804549812</v>
      </c>
    </row>
    <row r="68" s="67" customFormat="1" spans="1:15">
      <c r="A68" s="73">
        <f>'[1]特别隐藏版（勿动、勿看）'!A68</f>
        <v>0</v>
      </c>
      <c r="B68" s="70" t="str">
        <f>'[1]特别隐藏版（勿动、勿看）'!B68</f>
        <v>退货率</v>
      </c>
      <c r="C68" s="20">
        <f t="shared" ref="C68:O68" si="22">1-C64/C63</f>
        <v>0.740973832394833</v>
      </c>
      <c r="D68" s="20">
        <f t="shared" si="22"/>
        <v>0.761146496815287</v>
      </c>
      <c r="E68" s="20">
        <f t="shared" si="22"/>
        <v>0.803308823529412</v>
      </c>
      <c r="F68" s="20">
        <f t="shared" si="22"/>
        <v>0.781975705609146</v>
      </c>
      <c r="G68" s="20">
        <f t="shared" si="22"/>
        <v>0.779450508091833</v>
      </c>
      <c r="H68" s="20">
        <f t="shared" si="22"/>
        <v>0.711755233494364</v>
      </c>
      <c r="I68" s="20" t="e">
        <f t="shared" si="22"/>
        <v>#DIV/0!</v>
      </c>
      <c r="J68" s="20" t="e">
        <f t="shared" si="22"/>
        <v>#DIV/0!</v>
      </c>
      <c r="K68" s="20" t="e">
        <f t="shared" si="22"/>
        <v>#DIV/0!</v>
      </c>
      <c r="L68" s="20" t="e">
        <f t="shared" si="22"/>
        <v>#DIV/0!</v>
      </c>
      <c r="M68" s="20" t="e">
        <f t="shared" si="22"/>
        <v>#DIV/0!</v>
      </c>
      <c r="N68" s="20" t="e">
        <f t="shared" si="22"/>
        <v>#DIV/0!</v>
      </c>
      <c r="O68" s="20">
        <f t="shared" si="22"/>
        <v>0.771241197396123</v>
      </c>
    </row>
    <row r="69" s="67" customFormat="1" spans="1:15">
      <c r="A69" s="78">
        <f>'[1]特别隐藏版（勿动、勿看）'!A69</f>
        <v>0</v>
      </c>
      <c r="B69" s="70" t="str">
        <f>'[1]特别隐藏版（勿动、勿看）'!B69</f>
        <v>利润率</v>
      </c>
      <c r="C69" s="20">
        <f t="shared" ref="C69:O69" si="23">C62/(C66)</f>
        <v>0.195781207403821</v>
      </c>
      <c r="D69" s="20">
        <f t="shared" si="23"/>
        <v>0.18287034382435</v>
      </c>
      <c r="E69" s="20">
        <f t="shared" si="23"/>
        <v>0.0473530011109686</v>
      </c>
      <c r="F69" s="20">
        <f t="shared" si="23"/>
        <v>0.144908303683073</v>
      </c>
      <c r="G69" s="20">
        <f t="shared" si="23"/>
        <v>0.0737525094186907</v>
      </c>
      <c r="H69" s="20">
        <f t="shared" si="23"/>
        <v>0.0868012061444234</v>
      </c>
      <c r="I69" s="20" t="e">
        <f t="shared" si="23"/>
        <v>#DIV/0!</v>
      </c>
      <c r="J69" s="20" t="e">
        <f t="shared" si="23"/>
        <v>#DIV/0!</v>
      </c>
      <c r="K69" s="20" t="e">
        <f t="shared" si="23"/>
        <v>#DIV/0!</v>
      </c>
      <c r="L69" s="20" t="e">
        <f t="shared" si="23"/>
        <v>#DIV/0!</v>
      </c>
      <c r="M69" s="20" t="e">
        <f t="shared" si="23"/>
        <v>#DIV/0!</v>
      </c>
      <c r="N69" s="20" t="e">
        <f t="shared" si="23"/>
        <v>#DIV/0!</v>
      </c>
      <c r="O69" s="20">
        <f t="shared" si="23"/>
        <v>0.12702910610834</v>
      </c>
    </row>
    <row r="70" s="67" customFormat="1" spans="1:15">
      <c r="A70" s="72" t="str">
        <f>'[1]特别隐藏版（勿动、勿看）'!A70</f>
        <v>新店1</v>
      </c>
      <c r="B70" s="70" t="str">
        <f>'[1]特别隐藏版（勿动、勿看）'!B70</f>
        <v>实际利润（人民币）</v>
      </c>
      <c r="C70" s="77">
        <f>'[1]2026年度男装汇总分析'!C70</f>
        <v>0</v>
      </c>
      <c r="D70" s="77">
        <f>'[1]2026年度男装汇总分析'!D70</f>
        <v>0</v>
      </c>
      <c r="E70" s="77">
        <f>'[1]2026年度男装汇总分析'!E70</f>
        <v>0</v>
      </c>
      <c r="F70" s="77">
        <f>'[1]2026年度男装汇总分析'!F70</f>
        <v>0</v>
      </c>
      <c r="G70" s="77">
        <f>'[1]2026年度男装汇总分析'!G70</f>
        <v>0</v>
      </c>
      <c r="H70" s="77">
        <f>'[1]2026年度男装汇总分析'!H70</f>
        <v>0</v>
      </c>
      <c r="I70" s="77">
        <f>'[1]2026年度男装汇总分析'!I70</f>
        <v>0</v>
      </c>
      <c r="J70" s="77">
        <f>'[1]2026年度男装汇总分析'!J70</f>
        <v>0</v>
      </c>
      <c r="K70" s="77">
        <f>'[1]2026年度男装汇总分析'!K70</f>
        <v>0</v>
      </c>
      <c r="L70" s="77">
        <f>'[1]2026年度男装汇总分析'!L70</f>
        <v>0</v>
      </c>
      <c r="M70" s="77">
        <f>'[1]2026年度男装汇总分析'!M70</f>
        <v>0</v>
      </c>
      <c r="N70" s="77">
        <f>'[1]2026年度男装汇总分析'!N70</f>
        <v>0</v>
      </c>
      <c r="O70" s="21">
        <f t="shared" ref="O70:O74" si="24">SUM(C70:N70)</f>
        <v>0</v>
      </c>
    </row>
    <row r="71" s="67" customFormat="1" spans="1:15">
      <c r="A71" s="73">
        <f>'[1]特别隐藏版（勿动、勿看）'!A71</f>
        <v>0</v>
      </c>
      <c r="B71" s="70" t="str">
        <f>'[1]特别隐藏版（勿动、勿看）'!B71</f>
        <v>销量完成</v>
      </c>
      <c r="C71" s="70">
        <f>'[1]2026年度男装汇总分析'!C71</f>
        <v>0</v>
      </c>
      <c r="D71" s="70">
        <f>'[1]2026年度男装汇总分析'!D71</f>
        <v>0</v>
      </c>
      <c r="E71" s="70">
        <f>'[1]2026年度男装汇总分析'!E71</f>
        <v>0</v>
      </c>
      <c r="F71" s="70">
        <f>'[1]2026年度男装汇总分析'!F71</f>
        <v>0</v>
      </c>
      <c r="G71" s="70">
        <f>'[1]2026年度男装汇总分析'!G71</f>
        <v>0</v>
      </c>
      <c r="H71" s="70">
        <f>'[1]2026年度男装汇总分析'!H71</f>
        <v>0</v>
      </c>
      <c r="I71" s="70">
        <f>'[1]2026年度男装汇总分析'!I71</f>
        <v>0</v>
      </c>
      <c r="J71" s="70">
        <f>'[1]2026年度男装汇总分析'!J71</f>
        <v>0</v>
      </c>
      <c r="K71" s="70">
        <f>'[1]2026年度男装汇总分析'!K71</f>
        <v>0</v>
      </c>
      <c r="L71" s="70">
        <f>'[1]2026年度男装汇总分析'!L71</f>
        <v>0</v>
      </c>
      <c r="M71" s="70">
        <f>'[1]2026年度男装汇总分析'!M71</f>
        <v>0</v>
      </c>
      <c r="N71" s="70">
        <f>'[1]2026年度男装汇总分析'!N71</f>
        <v>0</v>
      </c>
      <c r="O71" s="1">
        <f t="shared" si="24"/>
        <v>0</v>
      </c>
    </row>
    <row r="72" s="67" customFormat="1" spans="1:15">
      <c r="A72" s="73">
        <f>'[1]特别隐藏版（勿动、勿看）'!A72</f>
        <v>0</v>
      </c>
      <c r="B72" s="70" t="str">
        <f>'[1]特别隐藏版（勿动、勿看）'!B72</f>
        <v>实销完成</v>
      </c>
      <c r="C72" s="70">
        <f>'[1]2026年度男装汇总分析'!C72</f>
        <v>0</v>
      </c>
      <c r="D72" s="70">
        <f>'[1]2026年度男装汇总分析'!D72</f>
        <v>0</v>
      </c>
      <c r="E72" s="70">
        <f>'[1]2026年度男装汇总分析'!E72</f>
        <v>0</v>
      </c>
      <c r="F72" s="70">
        <f>'[1]2026年度男装汇总分析'!F72</f>
        <v>0</v>
      </c>
      <c r="G72" s="70">
        <f>'[1]2026年度男装汇总分析'!G72</f>
        <v>0</v>
      </c>
      <c r="H72" s="70">
        <f>'[1]2026年度男装汇总分析'!H72</f>
        <v>0</v>
      </c>
      <c r="I72" s="70">
        <f>'[1]2026年度男装汇总分析'!I72</f>
        <v>0</v>
      </c>
      <c r="J72" s="70">
        <f>'[1]2026年度男装汇总分析'!J72</f>
        <v>0</v>
      </c>
      <c r="K72" s="70">
        <f>'[1]2026年度男装汇总分析'!K72</f>
        <v>0</v>
      </c>
      <c r="L72" s="70">
        <f>'[1]2026年度男装汇总分析'!L72</f>
        <v>0</v>
      </c>
      <c r="M72" s="70">
        <f>'[1]2026年度男装汇总分析'!M72</f>
        <v>0</v>
      </c>
      <c r="N72" s="70">
        <f>'[1]2026年度男装汇总分析'!N72</f>
        <v>0</v>
      </c>
      <c r="O72" s="1">
        <f t="shared" si="24"/>
        <v>0</v>
      </c>
    </row>
    <row r="73" s="67" customFormat="1" spans="1:15">
      <c r="A73" s="73">
        <f>'[1]特别隐藏版（勿动、勿看）'!A73</f>
        <v>0</v>
      </c>
      <c r="B73" s="70" t="str">
        <f>'[1]特别隐藏版（勿动、勿看）'!B73</f>
        <v>GMV完成</v>
      </c>
      <c r="C73" s="18">
        <f>'[1]2026年度男装汇总分析'!C73</f>
        <v>0</v>
      </c>
      <c r="D73" s="18">
        <f>'[1]2026年度男装汇总分析'!D73</f>
        <v>0</v>
      </c>
      <c r="E73" s="18">
        <f>'[1]2026年度男装汇总分析'!E73</f>
        <v>0</v>
      </c>
      <c r="F73" s="18">
        <f>'[1]2026年度男装汇总分析'!F73</f>
        <v>0</v>
      </c>
      <c r="G73" s="18">
        <f>'[1]2026年度男装汇总分析'!G73</f>
        <v>0</v>
      </c>
      <c r="H73" s="18">
        <f>'[1]2026年度男装汇总分析'!H73</f>
        <v>0</v>
      </c>
      <c r="I73" s="18">
        <f>'[1]2026年度男装汇总分析'!I73</f>
        <v>0</v>
      </c>
      <c r="J73" s="18">
        <f>'[1]2026年度男装汇总分析'!J73</f>
        <v>0</v>
      </c>
      <c r="K73" s="18">
        <f>'[1]2026年度男装汇总分析'!K73</f>
        <v>0</v>
      </c>
      <c r="L73" s="18">
        <f>'[1]2026年度男装汇总分析'!L73</f>
        <v>0</v>
      </c>
      <c r="M73" s="18">
        <f>'[1]2026年度男装汇总分析'!M73</f>
        <v>0</v>
      </c>
      <c r="N73" s="18">
        <f>'[1]2026年度男装汇总分析'!N73</f>
        <v>0</v>
      </c>
      <c r="O73" s="83">
        <f t="shared" si="24"/>
        <v>0</v>
      </c>
    </row>
    <row r="74" s="67" customFormat="1" spans="1:15">
      <c r="A74" s="73">
        <f>'[1]特别隐藏版（勿动、勿看）'!A74</f>
        <v>0</v>
      </c>
      <c r="B74" s="70" t="str">
        <f>'[1]特别隐藏版（勿动、勿看）'!B74</f>
        <v>GSV完成</v>
      </c>
      <c r="C74" s="77">
        <f>'[1]2026年度男装汇总分析'!C74</f>
        <v>0</v>
      </c>
      <c r="D74" s="77">
        <f>'[1]2026年度男装汇总分析'!D74</f>
        <v>0</v>
      </c>
      <c r="E74" s="77">
        <f>'[1]2026年度男装汇总分析'!E74</f>
        <v>0</v>
      </c>
      <c r="F74" s="77">
        <f>'[1]2026年度男装汇总分析'!F74</f>
        <v>0</v>
      </c>
      <c r="G74" s="77">
        <f>'[1]2026年度男装汇总分析'!G74</f>
        <v>0</v>
      </c>
      <c r="H74" s="77">
        <f>'[1]2026年度男装汇总分析'!H74</f>
        <v>0</v>
      </c>
      <c r="I74" s="77">
        <f>'[1]2026年度男装汇总分析'!I74</f>
        <v>0</v>
      </c>
      <c r="J74" s="77">
        <f>'[1]2026年度男装汇总分析'!J74</f>
        <v>0</v>
      </c>
      <c r="K74" s="77">
        <f>'[1]2026年度男装汇总分析'!K74</f>
        <v>0</v>
      </c>
      <c r="L74" s="77">
        <f>'[1]2026年度男装汇总分析'!L74</f>
        <v>0</v>
      </c>
      <c r="M74" s="77">
        <f>'[1]2026年度男装汇总分析'!M74</f>
        <v>0</v>
      </c>
      <c r="N74" s="77">
        <f>'[1]2026年度男装汇总分析'!N74</f>
        <v>0</v>
      </c>
      <c r="O74" s="21">
        <f t="shared" si="24"/>
        <v>0</v>
      </c>
    </row>
    <row r="75" s="67" customFormat="1" spans="1:15">
      <c r="A75" s="73">
        <f>'[1]特别隐藏版（勿动、勿看）'!A75</f>
        <v>0</v>
      </c>
      <c r="B75" s="70" t="str">
        <f>'[1]特别隐藏版（勿动、勿看）'!B75</f>
        <v>退款率</v>
      </c>
      <c r="C75" s="20">
        <v>0.690403504378611</v>
      </c>
      <c r="D75" s="20">
        <v>0.713085641915568</v>
      </c>
      <c r="E75" s="20">
        <v>0.744383888889705</v>
      </c>
      <c r="F75" s="20">
        <v>0.708815495578813</v>
      </c>
      <c r="G75" s="20">
        <v>0.676955236686802</v>
      </c>
      <c r="H75" s="20">
        <v>0.69362188606391</v>
      </c>
      <c r="I75" s="20" t="e">
        <v>#DIV/0!</v>
      </c>
      <c r="J75" s="20" t="e">
        <v>#DIV/0!</v>
      </c>
      <c r="K75" s="20" t="e">
        <v>#DIV/0!</v>
      </c>
      <c r="L75" s="20" t="e">
        <v>#DIV/0!</v>
      </c>
      <c r="M75" s="20" t="e">
        <v>#DIV/0!</v>
      </c>
      <c r="N75" s="20" t="e">
        <v>#DIV/0!</v>
      </c>
      <c r="O75" s="20" t="e">
        <f>1-O74*12.5/O73</f>
        <v>#DIV/0!</v>
      </c>
    </row>
    <row r="76" s="67" customFormat="1" spans="1:15">
      <c r="A76" s="73">
        <f>'[1]特别隐藏版（勿动、勿看）'!A76</f>
        <v>0</v>
      </c>
      <c r="B76" s="70" t="str">
        <f>'[1]特别隐藏版（勿动、勿看）'!B76</f>
        <v>退货率</v>
      </c>
      <c r="C76" s="20">
        <v>0.718278731149246</v>
      </c>
      <c r="D76" s="20">
        <v>0.744375419744795</v>
      </c>
      <c r="E76" s="20">
        <v>0.759741902834008</v>
      </c>
      <c r="F76" s="20">
        <v>0.747212336892052</v>
      </c>
      <c r="G76" s="20">
        <v>0.719339199138086</v>
      </c>
      <c r="H76" s="20">
        <v>0.698044009779951</v>
      </c>
      <c r="I76" s="20" t="e">
        <v>#DIV/0!</v>
      </c>
      <c r="J76" s="20" t="e">
        <v>#DIV/0!</v>
      </c>
      <c r="K76" s="20" t="e">
        <v>#DIV/0!</v>
      </c>
      <c r="L76" s="20" t="e">
        <v>#DIV/0!</v>
      </c>
      <c r="M76" s="20" t="e">
        <v>#DIV/0!</v>
      </c>
      <c r="N76" s="20" t="e">
        <v>#DIV/0!</v>
      </c>
      <c r="O76" s="20" t="e">
        <f>1-O72/O71</f>
        <v>#DIV/0!</v>
      </c>
    </row>
    <row r="77" s="67" customFormat="1" spans="1:15">
      <c r="A77" s="78">
        <f>'[1]特别隐藏版（勿动、勿看）'!A77</f>
        <v>0</v>
      </c>
      <c r="B77" s="70" t="str">
        <f>'[1]特别隐藏版（勿动、勿看）'!B77</f>
        <v>利润率</v>
      </c>
      <c r="C77" s="20">
        <v>0.121543906824287</v>
      </c>
      <c r="D77" s="20">
        <v>0.100913304397759</v>
      </c>
      <c r="E77" s="20">
        <v>0.0414699567466943</v>
      </c>
      <c r="F77" s="20">
        <v>0.0616780950056489</v>
      </c>
      <c r="G77" s="20">
        <v>0.094867445992689</v>
      </c>
      <c r="H77" s="20">
        <v>0.169106132245491</v>
      </c>
      <c r="I77" s="20" t="e">
        <v>#DIV/0!</v>
      </c>
      <c r="J77" s="20" t="e">
        <v>#DIV/0!</v>
      </c>
      <c r="K77" s="20" t="e">
        <v>#DIV/0!</v>
      </c>
      <c r="L77" s="20" t="e">
        <v>#DIV/0!</v>
      </c>
      <c r="M77" s="20" t="e">
        <v>#DIV/0!</v>
      </c>
      <c r="N77" s="20" t="e">
        <v>#DIV/0!</v>
      </c>
      <c r="O77" s="20" t="e">
        <f>O70/(O74)</f>
        <v>#DIV/0!</v>
      </c>
    </row>
    <row r="78" s="67" customFormat="1" spans="1:15">
      <c r="A78" s="72" t="str">
        <f>'[1]特别隐藏版（勿动、勿看）'!A78</f>
        <v>新店2</v>
      </c>
      <c r="B78" s="70" t="str">
        <f>'[1]特别隐藏版（勿动、勿看）'!B78</f>
        <v>实际利润（人民币）</v>
      </c>
      <c r="C78" s="70">
        <f>'[1]特别隐藏版（勿动、勿看）'!C78</f>
        <v>0</v>
      </c>
      <c r="D78" s="70">
        <f>'[1]特别隐藏版（勿动、勿看）'!D78</f>
        <v>0</v>
      </c>
      <c r="E78" s="70">
        <f>'[1]特别隐藏版（勿动、勿看）'!E78</f>
        <v>0</v>
      </c>
      <c r="F78" s="70">
        <f>'[1]特别隐藏版（勿动、勿看）'!F78</f>
        <v>0</v>
      </c>
      <c r="G78" s="70">
        <f>'[1]特别隐藏版（勿动、勿看）'!G78</f>
        <v>0</v>
      </c>
      <c r="H78" s="70">
        <f>'[1]特别隐藏版（勿动、勿看）'!H78</f>
        <v>0</v>
      </c>
      <c r="I78" s="70">
        <f>'[1]特别隐藏版（勿动、勿看）'!I78</f>
        <v>0</v>
      </c>
      <c r="J78" s="70">
        <f>'[1]特别隐藏版（勿动、勿看）'!J78</f>
        <v>0</v>
      </c>
      <c r="K78" s="70">
        <f>'[1]特别隐藏版（勿动、勿看）'!K78</f>
        <v>0</v>
      </c>
      <c r="L78" s="70">
        <f>'[1]特别隐藏版（勿动、勿看）'!L78</f>
        <v>0</v>
      </c>
      <c r="M78" s="70">
        <f>'[1]特别隐藏版（勿动、勿看）'!M78</f>
        <v>0</v>
      </c>
      <c r="N78" s="70">
        <f>'[1]特别隐藏版（勿动、勿看）'!N78</f>
        <v>0</v>
      </c>
      <c r="O78" s="70">
        <f>'[1]特别隐藏版（勿动、勿看）'!O78</f>
        <v>0</v>
      </c>
    </row>
    <row r="79" s="67" customFormat="1" spans="1:15">
      <c r="A79" s="73">
        <f>'[1]特别隐藏版（勿动、勿看）'!A79</f>
        <v>0</v>
      </c>
      <c r="B79" s="70" t="str">
        <f>'[1]特别隐藏版（勿动、勿看）'!B79</f>
        <v>销量完成</v>
      </c>
      <c r="C79" s="70">
        <f>'[1]特别隐藏版（勿动、勿看）'!C79</f>
        <v>0</v>
      </c>
      <c r="D79" s="70">
        <f>'[1]特别隐藏版（勿动、勿看）'!D79</f>
        <v>0</v>
      </c>
      <c r="E79" s="70">
        <f>'[1]特别隐藏版（勿动、勿看）'!E79</f>
        <v>0</v>
      </c>
      <c r="F79" s="70">
        <f>'[1]特别隐藏版（勿动、勿看）'!F79</f>
        <v>0</v>
      </c>
      <c r="G79" s="70">
        <f>'[1]特别隐藏版（勿动、勿看）'!G79</f>
        <v>0</v>
      </c>
      <c r="H79" s="70">
        <f>'[1]特别隐藏版（勿动、勿看）'!H79</f>
        <v>0</v>
      </c>
      <c r="I79" s="70">
        <f>'[1]特别隐藏版（勿动、勿看）'!I79</f>
        <v>0</v>
      </c>
      <c r="J79" s="70">
        <f>'[1]特别隐藏版（勿动、勿看）'!J79</f>
        <v>0</v>
      </c>
      <c r="K79" s="70">
        <f>'[1]特别隐藏版（勿动、勿看）'!K79</f>
        <v>0</v>
      </c>
      <c r="L79" s="70">
        <f>'[1]特别隐藏版（勿动、勿看）'!L79</f>
        <v>0</v>
      </c>
      <c r="M79" s="70">
        <f>'[1]特别隐藏版（勿动、勿看）'!M79</f>
        <v>0</v>
      </c>
      <c r="N79" s="70">
        <f>'[1]特别隐藏版（勿动、勿看）'!N79</f>
        <v>0</v>
      </c>
      <c r="O79" s="70">
        <f>'[1]特别隐藏版（勿动、勿看）'!O79</f>
        <v>0</v>
      </c>
    </row>
    <row r="80" s="67" customFormat="1" spans="1:15">
      <c r="A80" s="73">
        <f>'[1]特别隐藏版（勿动、勿看）'!A80</f>
        <v>0</v>
      </c>
      <c r="B80" s="70" t="str">
        <f>'[1]特别隐藏版（勿动、勿看）'!B80</f>
        <v>实销完成</v>
      </c>
      <c r="C80" s="70">
        <f>'[1]特别隐藏版（勿动、勿看）'!C80</f>
        <v>0</v>
      </c>
      <c r="D80" s="70">
        <f>'[1]特别隐藏版（勿动、勿看）'!D80</f>
        <v>0</v>
      </c>
      <c r="E80" s="70">
        <f>'[1]特别隐藏版（勿动、勿看）'!E80</f>
        <v>0</v>
      </c>
      <c r="F80" s="70">
        <f>'[1]特别隐藏版（勿动、勿看）'!F80</f>
        <v>0</v>
      </c>
      <c r="G80" s="70">
        <f>'[1]特别隐藏版（勿动、勿看）'!G80</f>
        <v>0</v>
      </c>
      <c r="H80" s="70">
        <f>'[1]特别隐藏版（勿动、勿看）'!H80</f>
        <v>0</v>
      </c>
      <c r="I80" s="70">
        <f>'[1]特别隐藏版（勿动、勿看）'!I80</f>
        <v>0</v>
      </c>
      <c r="J80" s="70">
        <f>'[1]特别隐藏版（勿动、勿看）'!J80</f>
        <v>0</v>
      </c>
      <c r="K80" s="70">
        <f>'[1]特别隐藏版（勿动、勿看）'!K80</f>
        <v>0</v>
      </c>
      <c r="L80" s="70">
        <f>'[1]特别隐藏版（勿动、勿看）'!L80</f>
        <v>0</v>
      </c>
      <c r="M80" s="70">
        <f>'[1]特别隐藏版（勿动、勿看）'!M80</f>
        <v>0</v>
      </c>
      <c r="N80" s="70">
        <f>'[1]特别隐藏版（勿动、勿看）'!N80</f>
        <v>0</v>
      </c>
      <c r="O80" s="70">
        <f>'[1]特别隐藏版（勿动、勿看）'!O80</f>
        <v>0</v>
      </c>
    </row>
    <row r="81" s="67" customFormat="1" spans="1:15">
      <c r="A81" s="73">
        <f>'[1]特别隐藏版（勿动、勿看）'!A81</f>
        <v>0</v>
      </c>
      <c r="B81" s="70" t="str">
        <f>'[1]特别隐藏版（勿动、勿看）'!B81</f>
        <v>GMV完成</v>
      </c>
      <c r="C81" s="70">
        <f>'[1]特别隐藏版（勿动、勿看）'!C81</f>
        <v>0</v>
      </c>
      <c r="D81" s="70">
        <f>'[1]特别隐藏版（勿动、勿看）'!D81</f>
        <v>0</v>
      </c>
      <c r="E81" s="70">
        <f>'[1]特别隐藏版（勿动、勿看）'!E81</f>
        <v>0</v>
      </c>
      <c r="F81" s="70">
        <f>'[1]特别隐藏版（勿动、勿看）'!F81</f>
        <v>0</v>
      </c>
      <c r="G81" s="70">
        <f>'[1]特别隐藏版（勿动、勿看）'!G81</f>
        <v>0</v>
      </c>
      <c r="H81" s="70">
        <f>'[1]特别隐藏版（勿动、勿看）'!H81</f>
        <v>0</v>
      </c>
      <c r="I81" s="70">
        <f>'[1]特别隐藏版（勿动、勿看）'!I81</f>
        <v>0</v>
      </c>
      <c r="J81" s="70">
        <f>'[1]特别隐藏版（勿动、勿看）'!J81</f>
        <v>0</v>
      </c>
      <c r="K81" s="70">
        <f>'[1]特别隐藏版（勿动、勿看）'!K81</f>
        <v>0</v>
      </c>
      <c r="L81" s="70">
        <f>'[1]特别隐藏版（勿动、勿看）'!L81</f>
        <v>0</v>
      </c>
      <c r="M81" s="70">
        <f>'[1]特别隐藏版（勿动、勿看）'!M81</f>
        <v>0</v>
      </c>
      <c r="N81" s="70">
        <f>'[1]特别隐藏版（勿动、勿看）'!N81</f>
        <v>0</v>
      </c>
      <c r="O81" s="70">
        <f>'[1]特别隐藏版（勿动、勿看）'!O81</f>
        <v>0</v>
      </c>
    </row>
    <row r="82" s="67" customFormat="1" spans="1:15">
      <c r="A82" s="73">
        <f>'[1]特别隐藏版（勿动、勿看）'!A82</f>
        <v>0</v>
      </c>
      <c r="B82" s="70" t="str">
        <f>'[1]特别隐藏版（勿动、勿看）'!B82</f>
        <v>GSV完成</v>
      </c>
      <c r="C82" s="70">
        <f>'[1]特别隐藏版（勿动、勿看）'!C82</f>
        <v>0</v>
      </c>
      <c r="D82" s="70">
        <f>'[1]特别隐藏版（勿动、勿看）'!D82</f>
        <v>0</v>
      </c>
      <c r="E82" s="70">
        <f>'[1]特别隐藏版（勿动、勿看）'!E82</f>
        <v>0</v>
      </c>
      <c r="F82" s="70">
        <f>'[1]特别隐藏版（勿动、勿看）'!F82</f>
        <v>0</v>
      </c>
      <c r="G82" s="70">
        <f>'[1]特别隐藏版（勿动、勿看）'!G82</f>
        <v>0</v>
      </c>
      <c r="H82" s="70">
        <f>'[1]特别隐藏版（勿动、勿看）'!H82</f>
        <v>0</v>
      </c>
      <c r="I82" s="70">
        <f>'[1]特别隐藏版（勿动、勿看）'!I82</f>
        <v>0</v>
      </c>
      <c r="J82" s="70">
        <f>'[1]特别隐藏版（勿动、勿看）'!J82</f>
        <v>0</v>
      </c>
      <c r="K82" s="70">
        <f>'[1]特别隐藏版（勿动、勿看）'!K82</f>
        <v>0</v>
      </c>
      <c r="L82" s="70">
        <f>'[1]特别隐藏版（勿动、勿看）'!L82</f>
        <v>0</v>
      </c>
      <c r="M82" s="70">
        <f>'[1]特别隐藏版（勿动、勿看）'!M82</f>
        <v>0</v>
      </c>
      <c r="N82" s="70">
        <f>'[1]特别隐藏版（勿动、勿看）'!N82</f>
        <v>0</v>
      </c>
      <c r="O82" s="70">
        <f>'[1]特别隐藏版（勿动、勿看）'!O82</f>
        <v>0</v>
      </c>
    </row>
    <row r="83" s="67" customFormat="1" spans="1:15">
      <c r="A83" s="73">
        <f>'[1]特别隐藏版（勿动、勿看）'!A83</f>
        <v>0</v>
      </c>
      <c r="B83" s="70" t="str">
        <f>'[1]特别隐藏版（勿动、勿看）'!B83</f>
        <v>退款率</v>
      </c>
      <c r="C83" s="13" t="e">
        <f>'[1]特别隐藏版（勿动、勿看）'!C83</f>
        <v>#DIV/0!</v>
      </c>
      <c r="D83" s="13" t="e">
        <f>'[1]特别隐藏版（勿动、勿看）'!D83</f>
        <v>#DIV/0!</v>
      </c>
      <c r="E83" s="13" t="e">
        <f>'[1]特别隐藏版（勿动、勿看）'!E83</f>
        <v>#DIV/0!</v>
      </c>
      <c r="F83" s="13" t="e">
        <f>'[1]特别隐藏版（勿动、勿看）'!F83</f>
        <v>#DIV/0!</v>
      </c>
      <c r="G83" s="13" t="e">
        <f>'[1]特别隐藏版（勿动、勿看）'!G83</f>
        <v>#DIV/0!</v>
      </c>
      <c r="H83" s="13" t="e">
        <f>'[1]特别隐藏版（勿动、勿看）'!H83</f>
        <v>#DIV/0!</v>
      </c>
      <c r="I83" s="13" t="e">
        <f>'[1]特别隐藏版（勿动、勿看）'!I83</f>
        <v>#DIV/0!</v>
      </c>
      <c r="J83" s="13" t="e">
        <f>'[1]特别隐藏版（勿动、勿看）'!J83</f>
        <v>#DIV/0!</v>
      </c>
      <c r="K83" s="13" t="e">
        <f>'[1]特别隐藏版（勿动、勿看）'!K83</f>
        <v>#DIV/0!</v>
      </c>
      <c r="L83" s="13" t="e">
        <f>'[1]特别隐藏版（勿动、勿看）'!L83</f>
        <v>#DIV/0!</v>
      </c>
      <c r="M83" s="13" t="e">
        <f>'[1]特别隐藏版（勿动、勿看）'!M83</f>
        <v>#DIV/0!</v>
      </c>
      <c r="N83" s="13" t="e">
        <f>'[1]特别隐藏版（勿动、勿看）'!N83</f>
        <v>#DIV/0!</v>
      </c>
      <c r="O83" s="13" t="e">
        <f>'[1]特别隐藏版（勿动、勿看）'!O83</f>
        <v>#DIV/0!</v>
      </c>
    </row>
    <row r="84" s="67" customFormat="1" spans="1:15">
      <c r="A84" s="73">
        <f>'[1]特别隐藏版（勿动、勿看）'!A84</f>
        <v>0</v>
      </c>
      <c r="B84" s="70" t="str">
        <f>'[1]特别隐藏版（勿动、勿看）'!B84</f>
        <v>退货率</v>
      </c>
      <c r="C84" s="13" t="e">
        <f>'[1]特别隐藏版（勿动、勿看）'!C84</f>
        <v>#DIV/0!</v>
      </c>
      <c r="D84" s="13" t="e">
        <f>'[1]特别隐藏版（勿动、勿看）'!D84</f>
        <v>#DIV/0!</v>
      </c>
      <c r="E84" s="13" t="e">
        <f>'[1]特别隐藏版（勿动、勿看）'!E84</f>
        <v>#DIV/0!</v>
      </c>
      <c r="F84" s="13" t="e">
        <f>'[1]特别隐藏版（勿动、勿看）'!F84</f>
        <v>#DIV/0!</v>
      </c>
      <c r="G84" s="13" t="e">
        <f>'[1]特别隐藏版（勿动、勿看）'!G84</f>
        <v>#DIV/0!</v>
      </c>
      <c r="H84" s="13" t="e">
        <f>'[1]特别隐藏版（勿动、勿看）'!H84</f>
        <v>#DIV/0!</v>
      </c>
      <c r="I84" s="13" t="e">
        <f>'[1]特别隐藏版（勿动、勿看）'!I84</f>
        <v>#DIV/0!</v>
      </c>
      <c r="J84" s="13" t="e">
        <f>'[1]特别隐藏版（勿动、勿看）'!J84</f>
        <v>#DIV/0!</v>
      </c>
      <c r="K84" s="13" t="e">
        <f>'[1]特别隐藏版（勿动、勿看）'!K84</f>
        <v>#DIV/0!</v>
      </c>
      <c r="L84" s="13" t="e">
        <f>'[1]特别隐藏版（勿动、勿看）'!L84</f>
        <v>#DIV/0!</v>
      </c>
      <c r="M84" s="13" t="e">
        <f>'[1]特别隐藏版（勿动、勿看）'!M84</f>
        <v>#DIV/0!</v>
      </c>
      <c r="N84" s="13" t="e">
        <f>'[1]特别隐藏版（勿动、勿看）'!N84</f>
        <v>#DIV/0!</v>
      </c>
      <c r="O84" s="13" t="e">
        <f>'[1]特别隐藏版（勿动、勿看）'!O84</f>
        <v>#DIV/0!</v>
      </c>
    </row>
    <row r="85" s="67" customFormat="1" spans="1:15">
      <c r="A85" s="78">
        <f>'[1]特别隐藏版（勿动、勿看）'!A85</f>
        <v>0</v>
      </c>
      <c r="B85" s="70" t="str">
        <f>'[1]特别隐藏版（勿动、勿看）'!B85</f>
        <v>利润率</v>
      </c>
      <c r="C85" s="13" t="e">
        <f>'[1]特别隐藏版（勿动、勿看）'!C85</f>
        <v>#DIV/0!</v>
      </c>
      <c r="D85" s="13" t="e">
        <f>'[1]特别隐藏版（勿动、勿看）'!D85</f>
        <v>#DIV/0!</v>
      </c>
      <c r="E85" s="13" t="e">
        <f>'[1]特别隐藏版（勿动、勿看）'!E85</f>
        <v>#DIV/0!</v>
      </c>
      <c r="F85" s="13" t="e">
        <f>'[1]特别隐藏版（勿动、勿看）'!F85</f>
        <v>#DIV/0!</v>
      </c>
      <c r="G85" s="13" t="e">
        <f>'[1]特别隐藏版（勿动、勿看）'!G85</f>
        <v>#DIV/0!</v>
      </c>
      <c r="H85" s="13" t="e">
        <f>'[1]特别隐藏版（勿动、勿看）'!H85</f>
        <v>#DIV/0!</v>
      </c>
      <c r="I85" s="13" t="e">
        <f>'[1]特别隐藏版（勿动、勿看）'!I85</f>
        <v>#DIV/0!</v>
      </c>
      <c r="J85" s="13" t="e">
        <f>'[1]特别隐藏版（勿动、勿看）'!J85</f>
        <v>#DIV/0!</v>
      </c>
      <c r="K85" s="13" t="e">
        <f>'[1]特别隐藏版（勿动、勿看）'!K85</f>
        <v>#DIV/0!</v>
      </c>
      <c r="L85" s="13" t="e">
        <f>'[1]特别隐藏版（勿动、勿看）'!L85</f>
        <v>#DIV/0!</v>
      </c>
      <c r="M85" s="13" t="e">
        <f>'[1]特别隐藏版（勿动、勿看）'!M85</f>
        <v>#DIV/0!</v>
      </c>
      <c r="N85" s="13" t="e">
        <f>'[1]特别隐藏版（勿动、勿看）'!N85</f>
        <v>#DIV/0!</v>
      </c>
      <c r="O85" s="13" t="e">
        <f>'[1]特别隐藏版（勿动、勿看）'!O85</f>
        <v>#DIV/0!</v>
      </c>
    </row>
    <row r="86" s="67" customFormat="1" spans="1:15">
      <c r="A86" s="72" t="str">
        <f>'[1]特别隐藏版（勿动、勿看）'!A86</f>
        <v>新店3</v>
      </c>
      <c r="B86" s="70" t="str">
        <f>'[1]特别隐藏版（勿动、勿看）'!B86</f>
        <v>实际利润（人民币）</v>
      </c>
      <c r="C86" s="70">
        <f>'[1]特别隐藏版（勿动、勿看）'!C86</f>
        <v>0</v>
      </c>
      <c r="D86" s="70">
        <f>'[1]特别隐藏版（勿动、勿看）'!D86</f>
        <v>0</v>
      </c>
      <c r="E86" s="70">
        <f>'[1]特别隐藏版（勿动、勿看）'!E86</f>
        <v>0</v>
      </c>
      <c r="F86" s="70">
        <f>'[1]特别隐藏版（勿动、勿看）'!F86</f>
        <v>0</v>
      </c>
      <c r="G86" s="70">
        <f>'[1]特别隐藏版（勿动、勿看）'!G86</f>
        <v>0</v>
      </c>
      <c r="H86" s="70">
        <f>'[1]特别隐藏版（勿动、勿看）'!H86</f>
        <v>0</v>
      </c>
      <c r="I86" s="70">
        <f>'[1]特别隐藏版（勿动、勿看）'!I86</f>
        <v>0</v>
      </c>
      <c r="J86" s="70">
        <f>'[1]特别隐藏版（勿动、勿看）'!J86</f>
        <v>0</v>
      </c>
      <c r="K86" s="70">
        <f>'[1]特别隐藏版（勿动、勿看）'!K86</f>
        <v>0</v>
      </c>
      <c r="L86" s="70">
        <f>'[1]特别隐藏版（勿动、勿看）'!L86</f>
        <v>0</v>
      </c>
      <c r="M86" s="70">
        <f>'[1]特别隐藏版（勿动、勿看）'!M86</f>
        <v>0</v>
      </c>
      <c r="N86" s="70">
        <f>'[1]特别隐藏版（勿动、勿看）'!N86</f>
        <v>0</v>
      </c>
      <c r="O86" s="70">
        <f>'[1]特别隐藏版（勿动、勿看）'!O86</f>
        <v>0</v>
      </c>
    </row>
    <row r="87" s="67" customFormat="1" spans="1:15">
      <c r="A87" s="73">
        <f>'[1]特别隐藏版（勿动、勿看）'!A87</f>
        <v>0</v>
      </c>
      <c r="B87" s="70" t="str">
        <f>'[1]特别隐藏版（勿动、勿看）'!B87</f>
        <v>销量完成</v>
      </c>
      <c r="C87" s="70">
        <f>'[1]特别隐藏版（勿动、勿看）'!C87</f>
        <v>0</v>
      </c>
      <c r="D87" s="70">
        <f>'[1]特别隐藏版（勿动、勿看）'!D87</f>
        <v>0</v>
      </c>
      <c r="E87" s="70">
        <f>'[1]特别隐藏版（勿动、勿看）'!E87</f>
        <v>0</v>
      </c>
      <c r="F87" s="70">
        <f>'[1]特别隐藏版（勿动、勿看）'!F87</f>
        <v>0</v>
      </c>
      <c r="G87" s="70">
        <f>'[1]特别隐藏版（勿动、勿看）'!G87</f>
        <v>0</v>
      </c>
      <c r="H87" s="70">
        <f>'[1]特别隐藏版（勿动、勿看）'!H87</f>
        <v>0</v>
      </c>
      <c r="I87" s="70">
        <f>'[1]特别隐藏版（勿动、勿看）'!I87</f>
        <v>0</v>
      </c>
      <c r="J87" s="70">
        <f>'[1]特别隐藏版（勿动、勿看）'!J87</f>
        <v>0</v>
      </c>
      <c r="K87" s="70">
        <f>'[1]特别隐藏版（勿动、勿看）'!K87</f>
        <v>0</v>
      </c>
      <c r="L87" s="70">
        <f>'[1]特别隐藏版（勿动、勿看）'!L87</f>
        <v>0</v>
      </c>
      <c r="M87" s="70">
        <f>'[1]特别隐藏版（勿动、勿看）'!M87</f>
        <v>0</v>
      </c>
      <c r="N87" s="70">
        <f>'[1]特别隐藏版（勿动、勿看）'!N87</f>
        <v>0</v>
      </c>
      <c r="O87" s="70">
        <f>'[1]特别隐藏版（勿动、勿看）'!O87</f>
        <v>0</v>
      </c>
    </row>
    <row r="88" s="67" customFormat="1" spans="1:15">
      <c r="A88" s="73">
        <f>'[1]特别隐藏版（勿动、勿看）'!A88</f>
        <v>0</v>
      </c>
      <c r="B88" s="70" t="str">
        <f>'[1]特别隐藏版（勿动、勿看）'!B88</f>
        <v>实销完成</v>
      </c>
      <c r="C88" s="70">
        <f>'[1]特别隐藏版（勿动、勿看）'!C88</f>
        <v>0</v>
      </c>
      <c r="D88" s="70">
        <f>'[1]特别隐藏版（勿动、勿看）'!D88</f>
        <v>0</v>
      </c>
      <c r="E88" s="70">
        <f>'[1]特别隐藏版（勿动、勿看）'!E88</f>
        <v>0</v>
      </c>
      <c r="F88" s="70">
        <f>'[1]特别隐藏版（勿动、勿看）'!F88</f>
        <v>0</v>
      </c>
      <c r="G88" s="70">
        <f>'[1]特别隐藏版（勿动、勿看）'!G88</f>
        <v>0</v>
      </c>
      <c r="H88" s="70">
        <f>'[1]特别隐藏版（勿动、勿看）'!H88</f>
        <v>0</v>
      </c>
      <c r="I88" s="70">
        <f>'[1]特别隐藏版（勿动、勿看）'!I88</f>
        <v>0</v>
      </c>
      <c r="J88" s="70">
        <f>'[1]特别隐藏版（勿动、勿看）'!J88</f>
        <v>0</v>
      </c>
      <c r="K88" s="70">
        <f>'[1]特别隐藏版（勿动、勿看）'!K88</f>
        <v>0</v>
      </c>
      <c r="L88" s="70">
        <f>'[1]特别隐藏版（勿动、勿看）'!L88</f>
        <v>0</v>
      </c>
      <c r="M88" s="70">
        <f>'[1]特别隐藏版（勿动、勿看）'!M88</f>
        <v>0</v>
      </c>
      <c r="N88" s="70">
        <f>'[1]特别隐藏版（勿动、勿看）'!N88</f>
        <v>0</v>
      </c>
      <c r="O88" s="70">
        <f>'[1]特别隐藏版（勿动、勿看）'!O88</f>
        <v>0</v>
      </c>
    </row>
    <row r="89" s="67" customFormat="1" spans="1:15">
      <c r="A89" s="73">
        <f>'[1]特别隐藏版（勿动、勿看）'!A89</f>
        <v>0</v>
      </c>
      <c r="B89" s="70" t="str">
        <f>'[1]特别隐藏版（勿动、勿看）'!B89</f>
        <v>GMV完成</v>
      </c>
      <c r="C89" s="70">
        <f>'[1]特别隐藏版（勿动、勿看）'!C89</f>
        <v>0</v>
      </c>
      <c r="D89" s="70">
        <f>'[1]特别隐藏版（勿动、勿看）'!D89</f>
        <v>0</v>
      </c>
      <c r="E89" s="70">
        <f>'[1]特别隐藏版（勿动、勿看）'!E89</f>
        <v>0</v>
      </c>
      <c r="F89" s="70">
        <f>'[1]特别隐藏版（勿动、勿看）'!F89</f>
        <v>0</v>
      </c>
      <c r="G89" s="70">
        <f>'[1]特别隐藏版（勿动、勿看）'!G89</f>
        <v>0</v>
      </c>
      <c r="H89" s="70">
        <f>'[1]特别隐藏版（勿动、勿看）'!H89</f>
        <v>0</v>
      </c>
      <c r="I89" s="70">
        <f>'[1]特别隐藏版（勿动、勿看）'!I89</f>
        <v>0</v>
      </c>
      <c r="J89" s="70">
        <f>'[1]特别隐藏版（勿动、勿看）'!J89</f>
        <v>0</v>
      </c>
      <c r="K89" s="70">
        <f>'[1]特别隐藏版（勿动、勿看）'!K89</f>
        <v>0</v>
      </c>
      <c r="L89" s="70">
        <f>'[1]特别隐藏版（勿动、勿看）'!L89</f>
        <v>0</v>
      </c>
      <c r="M89" s="70">
        <f>'[1]特别隐藏版（勿动、勿看）'!M89</f>
        <v>0</v>
      </c>
      <c r="N89" s="70">
        <f>'[1]特别隐藏版（勿动、勿看）'!N89</f>
        <v>0</v>
      </c>
      <c r="O89" s="70">
        <f>'[1]特别隐藏版（勿动、勿看）'!O89</f>
        <v>0</v>
      </c>
    </row>
    <row r="90" s="67" customFormat="1" spans="1:15">
      <c r="A90" s="73">
        <f>'[1]特别隐藏版（勿动、勿看）'!A90</f>
        <v>0</v>
      </c>
      <c r="B90" s="70" t="str">
        <f>'[1]特别隐藏版（勿动、勿看）'!B90</f>
        <v>GSV完成</v>
      </c>
      <c r="C90" s="70">
        <f>'[1]特别隐藏版（勿动、勿看）'!C90</f>
        <v>0</v>
      </c>
      <c r="D90" s="70">
        <f>'[1]特别隐藏版（勿动、勿看）'!D90</f>
        <v>0</v>
      </c>
      <c r="E90" s="70">
        <f>'[1]特别隐藏版（勿动、勿看）'!E90</f>
        <v>0</v>
      </c>
      <c r="F90" s="70">
        <f>'[1]特别隐藏版（勿动、勿看）'!F90</f>
        <v>0</v>
      </c>
      <c r="G90" s="70">
        <f>'[1]特别隐藏版（勿动、勿看）'!G90</f>
        <v>0</v>
      </c>
      <c r="H90" s="70">
        <f>'[1]特别隐藏版（勿动、勿看）'!H90</f>
        <v>0</v>
      </c>
      <c r="I90" s="70">
        <f>'[1]特别隐藏版（勿动、勿看）'!I90</f>
        <v>0</v>
      </c>
      <c r="J90" s="70">
        <f>'[1]特别隐藏版（勿动、勿看）'!J90</f>
        <v>0</v>
      </c>
      <c r="K90" s="70">
        <f>'[1]特别隐藏版（勿动、勿看）'!K90</f>
        <v>0</v>
      </c>
      <c r="L90" s="70">
        <f>'[1]特别隐藏版（勿动、勿看）'!L90</f>
        <v>0</v>
      </c>
      <c r="M90" s="70">
        <f>'[1]特别隐藏版（勿动、勿看）'!M90</f>
        <v>0</v>
      </c>
      <c r="N90" s="70">
        <f>'[1]特别隐藏版（勿动、勿看）'!N90</f>
        <v>0</v>
      </c>
      <c r="O90" s="70">
        <f>'[1]特别隐藏版（勿动、勿看）'!O90</f>
        <v>0</v>
      </c>
    </row>
    <row r="91" s="67" customFormat="1" spans="1:15">
      <c r="A91" s="73">
        <f>'[1]特别隐藏版（勿动、勿看）'!A91</f>
        <v>0</v>
      </c>
      <c r="B91" s="70" t="str">
        <f>'[1]特别隐藏版（勿动、勿看）'!B91</f>
        <v>退款率</v>
      </c>
      <c r="C91" s="13" t="e">
        <f>'[1]特别隐藏版（勿动、勿看）'!C91</f>
        <v>#DIV/0!</v>
      </c>
      <c r="D91" s="13" t="e">
        <f>'[1]特别隐藏版（勿动、勿看）'!D91</f>
        <v>#DIV/0!</v>
      </c>
      <c r="E91" s="13" t="e">
        <f>'[1]特别隐藏版（勿动、勿看）'!E91</f>
        <v>#DIV/0!</v>
      </c>
      <c r="F91" s="13" t="e">
        <f>'[1]特别隐藏版（勿动、勿看）'!F91</f>
        <v>#DIV/0!</v>
      </c>
      <c r="G91" s="13" t="e">
        <f>'[1]特别隐藏版（勿动、勿看）'!G91</f>
        <v>#DIV/0!</v>
      </c>
      <c r="H91" s="13" t="e">
        <f>'[1]特别隐藏版（勿动、勿看）'!H91</f>
        <v>#DIV/0!</v>
      </c>
      <c r="I91" s="13" t="e">
        <f>'[1]特别隐藏版（勿动、勿看）'!I91</f>
        <v>#DIV/0!</v>
      </c>
      <c r="J91" s="13" t="e">
        <f>'[1]特别隐藏版（勿动、勿看）'!J91</f>
        <v>#DIV/0!</v>
      </c>
      <c r="K91" s="13" t="e">
        <f>'[1]特别隐藏版（勿动、勿看）'!K91</f>
        <v>#DIV/0!</v>
      </c>
      <c r="L91" s="13" t="e">
        <f>'[1]特别隐藏版（勿动、勿看）'!L91</f>
        <v>#DIV/0!</v>
      </c>
      <c r="M91" s="13" t="e">
        <f>'[1]特别隐藏版（勿动、勿看）'!M91</f>
        <v>#DIV/0!</v>
      </c>
      <c r="N91" s="13" t="e">
        <f>'[1]特别隐藏版（勿动、勿看）'!N91</f>
        <v>#DIV/0!</v>
      </c>
      <c r="O91" s="13" t="e">
        <f>'[1]特别隐藏版（勿动、勿看）'!O91</f>
        <v>#DIV/0!</v>
      </c>
    </row>
    <row r="92" s="67" customFormat="1" spans="1:15">
      <c r="A92" s="73">
        <f>'[1]特别隐藏版（勿动、勿看）'!A92</f>
        <v>0</v>
      </c>
      <c r="B92" s="70" t="str">
        <f>'[1]特别隐藏版（勿动、勿看）'!B92</f>
        <v>退货率</v>
      </c>
      <c r="C92" s="13" t="e">
        <f>'[1]特别隐藏版（勿动、勿看）'!C92</f>
        <v>#DIV/0!</v>
      </c>
      <c r="D92" s="13" t="e">
        <f>'[1]特别隐藏版（勿动、勿看）'!D92</f>
        <v>#DIV/0!</v>
      </c>
      <c r="E92" s="13" t="e">
        <f>'[1]特别隐藏版（勿动、勿看）'!E92</f>
        <v>#DIV/0!</v>
      </c>
      <c r="F92" s="13" t="e">
        <f>'[1]特别隐藏版（勿动、勿看）'!F92</f>
        <v>#DIV/0!</v>
      </c>
      <c r="G92" s="13" t="e">
        <f>'[1]特别隐藏版（勿动、勿看）'!G92</f>
        <v>#DIV/0!</v>
      </c>
      <c r="H92" s="13" t="e">
        <f>'[1]特别隐藏版（勿动、勿看）'!H92</f>
        <v>#DIV/0!</v>
      </c>
      <c r="I92" s="13" t="e">
        <f>'[1]特别隐藏版（勿动、勿看）'!I92</f>
        <v>#DIV/0!</v>
      </c>
      <c r="J92" s="13" t="e">
        <f>'[1]特别隐藏版（勿动、勿看）'!J92</f>
        <v>#DIV/0!</v>
      </c>
      <c r="K92" s="13" t="e">
        <f>'[1]特别隐藏版（勿动、勿看）'!K92</f>
        <v>#DIV/0!</v>
      </c>
      <c r="L92" s="13" t="e">
        <f>'[1]特别隐藏版（勿动、勿看）'!L92</f>
        <v>#DIV/0!</v>
      </c>
      <c r="M92" s="13" t="e">
        <f>'[1]特别隐藏版（勿动、勿看）'!M92</f>
        <v>#DIV/0!</v>
      </c>
      <c r="N92" s="13" t="e">
        <f>'[1]特别隐藏版（勿动、勿看）'!N92</f>
        <v>#DIV/0!</v>
      </c>
      <c r="O92" s="13" t="e">
        <f>'[1]特别隐藏版（勿动、勿看）'!O92</f>
        <v>#DIV/0!</v>
      </c>
    </row>
    <row r="93" s="67" customFormat="1" spans="1:15">
      <c r="A93" s="78">
        <f>'[1]特别隐藏版（勿动、勿看）'!A93</f>
        <v>0</v>
      </c>
      <c r="B93" s="70" t="str">
        <f>'[1]特别隐藏版（勿动、勿看）'!B93</f>
        <v>利润率</v>
      </c>
      <c r="C93" s="13" t="e">
        <f>'[1]特别隐藏版（勿动、勿看）'!C93</f>
        <v>#DIV/0!</v>
      </c>
      <c r="D93" s="13" t="e">
        <f>'[1]特别隐藏版（勿动、勿看）'!D93</f>
        <v>#DIV/0!</v>
      </c>
      <c r="E93" s="13" t="e">
        <f>'[1]特别隐藏版（勿动、勿看）'!E93</f>
        <v>#DIV/0!</v>
      </c>
      <c r="F93" s="13" t="e">
        <f>'[1]特别隐藏版（勿动、勿看）'!F93</f>
        <v>#DIV/0!</v>
      </c>
      <c r="G93" s="13" t="e">
        <f>'[1]特别隐藏版（勿动、勿看）'!G93</f>
        <v>#DIV/0!</v>
      </c>
      <c r="H93" s="13" t="e">
        <f>'[1]特别隐藏版（勿动、勿看）'!H93</f>
        <v>#DIV/0!</v>
      </c>
      <c r="I93" s="13" t="e">
        <f>'[1]特别隐藏版（勿动、勿看）'!I93</f>
        <v>#DIV/0!</v>
      </c>
      <c r="J93" s="13" t="e">
        <f>'[1]特别隐藏版（勿动、勿看）'!J93</f>
        <v>#DIV/0!</v>
      </c>
      <c r="K93" s="13" t="e">
        <f>'[1]特别隐藏版（勿动、勿看）'!K93</f>
        <v>#DIV/0!</v>
      </c>
      <c r="L93" s="13" t="e">
        <f>'[1]特别隐藏版（勿动、勿看）'!L93</f>
        <v>#DIV/0!</v>
      </c>
      <c r="M93" s="13" t="e">
        <f>'[1]特别隐藏版（勿动、勿看）'!M93</f>
        <v>#DIV/0!</v>
      </c>
      <c r="N93" s="13" t="e">
        <f>'[1]特别隐藏版（勿动、勿看）'!N93</f>
        <v>#DIV/0!</v>
      </c>
      <c r="O93" s="13" t="e">
        <f>'[1]特别隐藏版（勿动、勿看）'!O93</f>
        <v>#DIV/0!</v>
      </c>
    </row>
    <row r="94" s="67" customFormat="1" spans="1:15">
      <c r="A94" s="72" t="str">
        <f>'[1]特别隐藏版（勿动、勿看）'!A94</f>
        <v>新店4</v>
      </c>
      <c r="B94" s="70" t="str">
        <f>'[1]特别隐藏版（勿动、勿看）'!B94</f>
        <v>实际利润（人民币）</v>
      </c>
      <c r="C94" s="70">
        <f>'[1]特别隐藏版（勿动、勿看）'!C94</f>
        <v>0</v>
      </c>
      <c r="D94" s="70">
        <f>'[1]特别隐藏版（勿动、勿看）'!D94</f>
        <v>0</v>
      </c>
      <c r="E94" s="70">
        <f>'[1]特别隐藏版（勿动、勿看）'!E94</f>
        <v>0</v>
      </c>
      <c r="F94" s="70">
        <f>'[1]特别隐藏版（勿动、勿看）'!F94</f>
        <v>0</v>
      </c>
      <c r="G94" s="70">
        <f>'[1]特别隐藏版（勿动、勿看）'!G94</f>
        <v>0</v>
      </c>
      <c r="H94" s="70">
        <f>'[1]特别隐藏版（勿动、勿看）'!H94</f>
        <v>0</v>
      </c>
      <c r="I94" s="70">
        <f>'[1]特别隐藏版（勿动、勿看）'!I94</f>
        <v>0</v>
      </c>
      <c r="J94" s="70">
        <f>'[1]特别隐藏版（勿动、勿看）'!J94</f>
        <v>0</v>
      </c>
      <c r="K94" s="70">
        <f>'[1]特别隐藏版（勿动、勿看）'!K94</f>
        <v>0</v>
      </c>
      <c r="L94" s="70">
        <f>'[1]特别隐藏版（勿动、勿看）'!L94</f>
        <v>0</v>
      </c>
      <c r="M94" s="70">
        <f>'[1]特别隐藏版（勿动、勿看）'!M94</f>
        <v>0</v>
      </c>
      <c r="N94" s="70">
        <f>'[1]特别隐藏版（勿动、勿看）'!N94</f>
        <v>0</v>
      </c>
      <c r="O94" s="70">
        <f>'[1]特别隐藏版（勿动、勿看）'!O94</f>
        <v>0</v>
      </c>
    </row>
    <row r="95" s="67" customFormat="1" spans="1:15">
      <c r="A95" s="73">
        <f>'[1]特别隐藏版（勿动、勿看）'!A95</f>
        <v>0</v>
      </c>
      <c r="B95" s="70" t="str">
        <f>'[1]特别隐藏版（勿动、勿看）'!B95</f>
        <v>销量完成</v>
      </c>
      <c r="C95" s="70">
        <f>'[1]特别隐藏版（勿动、勿看）'!C95</f>
        <v>0</v>
      </c>
      <c r="D95" s="70">
        <f>'[1]特别隐藏版（勿动、勿看）'!D95</f>
        <v>0</v>
      </c>
      <c r="E95" s="70">
        <f>'[1]特别隐藏版（勿动、勿看）'!E95</f>
        <v>0</v>
      </c>
      <c r="F95" s="70">
        <f>'[1]特别隐藏版（勿动、勿看）'!F95</f>
        <v>0</v>
      </c>
      <c r="G95" s="70">
        <f>'[1]特别隐藏版（勿动、勿看）'!G95</f>
        <v>0</v>
      </c>
      <c r="H95" s="70">
        <f>'[1]特别隐藏版（勿动、勿看）'!H95</f>
        <v>0</v>
      </c>
      <c r="I95" s="70">
        <f>'[1]特别隐藏版（勿动、勿看）'!I95</f>
        <v>0</v>
      </c>
      <c r="J95" s="70">
        <f>'[1]特别隐藏版（勿动、勿看）'!J95</f>
        <v>0</v>
      </c>
      <c r="K95" s="70">
        <f>'[1]特别隐藏版（勿动、勿看）'!K95</f>
        <v>0</v>
      </c>
      <c r="L95" s="70">
        <f>'[1]特别隐藏版（勿动、勿看）'!L95</f>
        <v>0</v>
      </c>
      <c r="M95" s="70">
        <f>'[1]特别隐藏版（勿动、勿看）'!M95</f>
        <v>0</v>
      </c>
      <c r="N95" s="70">
        <f>'[1]特别隐藏版（勿动、勿看）'!N95</f>
        <v>0</v>
      </c>
      <c r="O95" s="70">
        <f>'[1]特别隐藏版（勿动、勿看）'!O95</f>
        <v>0</v>
      </c>
    </row>
    <row r="96" s="67" customFormat="1" spans="1:15">
      <c r="A96" s="73">
        <f>'[1]特别隐藏版（勿动、勿看）'!A96</f>
        <v>0</v>
      </c>
      <c r="B96" s="70" t="str">
        <f>'[1]特别隐藏版（勿动、勿看）'!B96</f>
        <v>实销完成</v>
      </c>
      <c r="C96" s="70">
        <f>'[1]特别隐藏版（勿动、勿看）'!C96</f>
        <v>0</v>
      </c>
      <c r="D96" s="70">
        <f>'[1]特别隐藏版（勿动、勿看）'!D96</f>
        <v>0</v>
      </c>
      <c r="E96" s="70">
        <f>'[1]特别隐藏版（勿动、勿看）'!E96</f>
        <v>0</v>
      </c>
      <c r="F96" s="70">
        <f>'[1]特别隐藏版（勿动、勿看）'!F96</f>
        <v>0</v>
      </c>
      <c r="G96" s="70">
        <f>'[1]特别隐藏版（勿动、勿看）'!G96</f>
        <v>0</v>
      </c>
      <c r="H96" s="70">
        <f>'[1]特别隐藏版（勿动、勿看）'!H96</f>
        <v>0</v>
      </c>
      <c r="I96" s="70">
        <f>'[1]特别隐藏版（勿动、勿看）'!I96</f>
        <v>0</v>
      </c>
      <c r="J96" s="70">
        <f>'[1]特别隐藏版（勿动、勿看）'!J96</f>
        <v>0</v>
      </c>
      <c r="K96" s="70">
        <f>'[1]特别隐藏版（勿动、勿看）'!K96</f>
        <v>0</v>
      </c>
      <c r="L96" s="70">
        <f>'[1]特别隐藏版（勿动、勿看）'!L96</f>
        <v>0</v>
      </c>
      <c r="M96" s="70">
        <f>'[1]特别隐藏版（勿动、勿看）'!M96</f>
        <v>0</v>
      </c>
      <c r="N96" s="70">
        <f>'[1]特别隐藏版（勿动、勿看）'!N96</f>
        <v>0</v>
      </c>
      <c r="O96" s="70">
        <f>'[1]特别隐藏版（勿动、勿看）'!O96</f>
        <v>0</v>
      </c>
    </row>
    <row r="97" s="67" customFormat="1" spans="1:15">
      <c r="A97" s="73">
        <f>'[1]特别隐藏版（勿动、勿看）'!A97</f>
        <v>0</v>
      </c>
      <c r="B97" s="70" t="str">
        <f>'[1]特别隐藏版（勿动、勿看）'!B97</f>
        <v>GMV完成</v>
      </c>
      <c r="C97" s="70">
        <f>'[1]特别隐藏版（勿动、勿看）'!C97</f>
        <v>0</v>
      </c>
      <c r="D97" s="70">
        <f>'[1]特别隐藏版（勿动、勿看）'!D97</f>
        <v>0</v>
      </c>
      <c r="E97" s="70">
        <f>'[1]特别隐藏版（勿动、勿看）'!E97</f>
        <v>0</v>
      </c>
      <c r="F97" s="70">
        <f>'[1]特别隐藏版（勿动、勿看）'!F97</f>
        <v>0</v>
      </c>
      <c r="G97" s="70">
        <f>'[1]特别隐藏版（勿动、勿看）'!G97</f>
        <v>0</v>
      </c>
      <c r="H97" s="70">
        <f>'[1]特别隐藏版（勿动、勿看）'!H97</f>
        <v>0</v>
      </c>
      <c r="I97" s="70">
        <f>'[1]特别隐藏版（勿动、勿看）'!I97</f>
        <v>0</v>
      </c>
      <c r="J97" s="70">
        <f>'[1]特别隐藏版（勿动、勿看）'!J97</f>
        <v>0</v>
      </c>
      <c r="K97" s="70">
        <f>'[1]特别隐藏版（勿动、勿看）'!K97</f>
        <v>0</v>
      </c>
      <c r="L97" s="70">
        <f>'[1]特别隐藏版（勿动、勿看）'!L97</f>
        <v>0</v>
      </c>
      <c r="M97" s="70">
        <f>'[1]特别隐藏版（勿动、勿看）'!M97</f>
        <v>0</v>
      </c>
      <c r="N97" s="70">
        <f>'[1]特别隐藏版（勿动、勿看）'!N97</f>
        <v>0</v>
      </c>
      <c r="O97" s="70">
        <f>'[1]特别隐藏版（勿动、勿看）'!O97</f>
        <v>0</v>
      </c>
    </row>
    <row r="98" s="67" customFormat="1" spans="1:15">
      <c r="A98" s="73">
        <f>'[1]特别隐藏版（勿动、勿看）'!A98</f>
        <v>0</v>
      </c>
      <c r="B98" s="70" t="str">
        <f>'[1]特别隐藏版（勿动、勿看）'!B98</f>
        <v>GSV完成</v>
      </c>
      <c r="C98" s="70">
        <f>'[1]特别隐藏版（勿动、勿看）'!C98</f>
        <v>0</v>
      </c>
      <c r="D98" s="70">
        <f>'[1]特别隐藏版（勿动、勿看）'!D98</f>
        <v>0</v>
      </c>
      <c r="E98" s="70">
        <f>'[1]特别隐藏版（勿动、勿看）'!E98</f>
        <v>0</v>
      </c>
      <c r="F98" s="70">
        <f>'[1]特别隐藏版（勿动、勿看）'!F98</f>
        <v>0</v>
      </c>
      <c r="G98" s="70">
        <f>'[1]特别隐藏版（勿动、勿看）'!G98</f>
        <v>0</v>
      </c>
      <c r="H98" s="70">
        <f>'[1]特别隐藏版（勿动、勿看）'!H98</f>
        <v>0</v>
      </c>
      <c r="I98" s="70">
        <f>'[1]特别隐藏版（勿动、勿看）'!I98</f>
        <v>0</v>
      </c>
      <c r="J98" s="70">
        <f>'[1]特别隐藏版（勿动、勿看）'!J98</f>
        <v>0</v>
      </c>
      <c r="K98" s="70">
        <f>'[1]特别隐藏版（勿动、勿看）'!K98</f>
        <v>0</v>
      </c>
      <c r="L98" s="70">
        <f>'[1]特别隐藏版（勿动、勿看）'!L98</f>
        <v>0</v>
      </c>
      <c r="M98" s="70">
        <f>'[1]特别隐藏版（勿动、勿看）'!M98</f>
        <v>0</v>
      </c>
      <c r="N98" s="70">
        <f>'[1]特别隐藏版（勿动、勿看）'!N98</f>
        <v>0</v>
      </c>
      <c r="O98" s="70">
        <f>'[1]特别隐藏版（勿动、勿看）'!O98</f>
        <v>0</v>
      </c>
    </row>
    <row r="99" s="67" customFormat="1" spans="1:15">
      <c r="A99" s="73">
        <f>'[1]特别隐藏版（勿动、勿看）'!A99</f>
        <v>0</v>
      </c>
      <c r="B99" s="70" t="str">
        <f>'[1]特别隐藏版（勿动、勿看）'!B99</f>
        <v>退款率</v>
      </c>
      <c r="C99" s="13" t="e">
        <f>'[1]特别隐藏版（勿动、勿看）'!C99</f>
        <v>#DIV/0!</v>
      </c>
      <c r="D99" s="13" t="e">
        <f>'[1]特别隐藏版（勿动、勿看）'!D99</f>
        <v>#DIV/0!</v>
      </c>
      <c r="E99" s="13" t="e">
        <f>'[1]特别隐藏版（勿动、勿看）'!E99</f>
        <v>#DIV/0!</v>
      </c>
      <c r="F99" s="13" t="e">
        <f>'[1]特别隐藏版（勿动、勿看）'!F99</f>
        <v>#DIV/0!</v>
      </c>
      <c r="G99" s="13" t="e">
        <f>'[1]特别隐藏版（勿动、勿看）'!G99</f>
        <v>#DIV/0!</v>
      </c>
      <c r="H99" s="13" t="e">
        <f>'[1]特别隐藏版（勿动、勿看）'!H99</f>
        <v>#DIV/0!</v>
      </c>
      <c r="I99" s="13" t="e">
        <f>'[1]特别隐藏版（勿动、勿看）'!I99</f>
        <v>#DIV/0!</v>
      </c>
      <c r="J99" s="13" t="e">
        <f>'[1]特别隐藏版（勿动、勿看）'!J99</f>
        <v>#DIV/0!</v>
      </c>
      <c r="K99" s="13" t="e">
        <f>'[1]特别隐藏版（勿动、勿看）'!K99</f>
        <v>#DIV/0!</v>
      </c>
      <c r="L99" s="13" t="e">
        <f>'[1]特别隐藏版（勿动、勿看）'!L99</f>
        <v>#DIV/0!</v>
      </c>
      <c r="M99" s="13" t="e">
        <f>'[1]特别隐藏版（勿动、勿看）'!M99</f>
        <v>#DIV/0!</v>
      </c>
      <c r="N99" s="13" t="e">
        <f>'[1]特别隐藏版（勿动、勿看）'!N99</f>
        <v>#DIV/0!</v>
      </c>
      <c r="O99" s="13" t="e">
        <f>'[1]特别隐藏版（勿动、勿看）'!O99</f>
        <v>#DIV/0!</v>
      </c>
    </row>
    <row r="100" s="67" customFormat="1" spans="1:15">
      <c r="A100" s="73">
        <f>'[1]特别隐藏版（勿动、勿看）'!A100</f>
        <v>0</v>
      </c>
      <c r="B100" s="70" t="str">
        <f>'[1]特别隐藏版（勿动、勿看）'!B100</f>
        <v>退货率</v>
      </c>
      <c r="C100" s="13" t="e">
        <f>'[1]特别隐藏版（勿动、勿看）'!C100</f>
        <v>#DIV/0!</v>
      </c>
      <c r="D100" s="13" t="e">
        <f>'[1]特别隐藏版（勿动、勿看）'!D100</f>
        <v>#DIV/0!</v>
      </c>
      <c r="E100" s="13" t="e">
        <f>'[1]特别隐藏版（勿动、勿看）'!E100</f>
        <v>#DIV/0!</v>
      </c>
      <c r="F100" s="13" t="e">
        <f>'[1]特别隐藏版（勿动、勿看）'!F100</f>
        <v>#DIV/0!</v>
      </c>
      <c r="G100" s="13" t="e">
        <f>'[1]特别隐藏版（勿动、勿看）'!G100</f>
        <v>#DIV/0!</v>
      </c>
      <c r="H100" s="13" t="e">
        <f>'[1]特别隐藏版（勿动、勿看）'!H100</f>
        <v>#DIV/0!</v>
      </c>
      <c r="I100" s="13" t="e">
        <f>'[1]特别隐藏版（勿动、勿看）'!I100</f>
        <v>#DIV/0!</v>
      </c>
      <c r="J100" s="13" t="e">
        <f>'[1]特别隐藏版（勿动、勿看）'!J100</f>
        <v>#DIV/0!</v>
      </c>
      <c r="K100" s="13" t="e">
        <f>'[1]特别隐藏版（勿动、勿看）'!K100</f>
        <v>#DIV/0!</v>
      </c>
      <c r="L100" s="13" t="e">
        <f>'[1]特别隐藏版（勿动、勿看）'!L100</f>
        <v>#DIV/0!</v>
      </c>
      <c r="M100" s="13" t="e">
        <f>'[1]特别隐藏版（勿动、勿看）'!M100</f>
        <v>#DIV/0!</v>
      </c>
      <c r="N100" s="13" t="e">
        <f>'[1]特别隐藏版（勿动、勿看）'!N100</f>
        <v>#DIV/0!</v>
      </c>
      <c r="O100" s="13" t="e">
        <f>'[1]特别隐藏版（勿动、勿看）'!O100</f>
        <v>#DIV/0!</v>
      </c>
    </row>
    <row r="101" s="67" customFormat="1" spans="1:15">
      <c r="A101" s="78">
        <f>'[1]特别隐藏版（勿动、勿看）'!A101</f>
        <v>0</v>
      </c>
      <c r="B101" s="70" t="str">
        <f>'[1]特别隐藏版（勿动、勿看）'!B101</f>
        <v>利润率</v>
      </c>
      <c r="C101" s="13" t="e">
        <f>'[1]特别隐藏版（勿动、勿看）'!C101</f>
        <v>#DIV/0!</v>
      </c>
      <c r="D101" s="13" t="e">
        <f>'[1]特别隐藏版（勿动、勿看）'!D101</f>
        <v>#DIV/0!</v>
      </c>
      <c r="E101" s="13" t="e">
        <f>'[1]特别隐藏版（勿动、勿看）'!E101</f>
        <v>#DIV/0!</v>
      </c>
      <c r="F101" s="13" t="e">
        <f>'[1]特别隐藏版（勿动、勿看）'!F101</f>
        <v>#DIV/0!</v>
      </c>
      <c r="G101" s="13" t="e">
        <f>'[1]特别隐藏版（勿动、勿看）'!G101</f>
        <v>#DIV/0!</v>
      </c>
      <c r="H101" s="13" t="e">
        <f>'[1]特别隐藏版（勿动、勿看）'!H101</f>
        <v>#DIV/0!</v>
      </c>
      <c r="I101" s="13" t="e">
        <f>'[1]特别隐藏版（勿动、勿看）'!I101</f>
        <v>#DIV/0!</v>
      </c>
      <c r="J101" s="13" t="e">
        <f>'[1]特别隐藏版（勿动、勿看）'!J101</f>
        <v>#DIV/0!</v>
      </c>
      <c r="K101" s="13" t="e">
        <f>'[1]特别隐藏版（勿动、勿看）'!K101</f>
        <v>#DIV/0!</v>
      </c>
      <c r="L101" s="13" t="e">
        <f>'[1]特别隐藏版（勿动、勿看）'!L101</f>
        <v>#DIV/0!</v>
      </c>
      <c r="M101" s="13" t="e">
        <f>'[1]特别隐藏版（勿动、勿看）'!M101</f>
        <v>#DIV/0!</v>
      </c>
      <c r="N101" s="13" t="e">
        <f>'[1]特别隐藏版（勿动、勿看）'!N101</f>
        <v>#DIV/0!</v>
      </c>
      <c r="O101" s="13" t="e">
        <f>'[1]特别隐藏版（勿动、勿看）'!O101</f>
        <v>#DIV/0!</v>
      </c>
    </row>
    <row r="102" s="67" customFormat="1" spans="1:15">
      <c r="A102" s="72" t="str">
        <f>'[1]特别隐藏版（勿动、勿看）'!A102</f>
        <v>新店5</v>
      </c>
      <c r="B102" s="70" t="str">
        <f>'[1]特别隐藏版（勿动、勿看）'!B102</f>
        <v>实际利润（人民币）</v>
      </c>
      <c r="C102" s="70">
        <f>'[1]特别隐藏版（勿动、勿看）'!C102</f>
        <v>0</v>
      </c>
      <c r="D102" s="70">
        <f>'[1]特别隐藏版（勿动、勿看）'!D102</f>
        <v>0</v>
      </c>
      <c r="E102" s="70">
        <f>'[1]特别隐藏版（勿动、勿看）'!E102</f>
        <v>0</v>
      </c>
      <c r="F102" s="70">
        <f>'[1]特别隐藏版（勿动、勿看）'!F102</f>
        <v>0</v>
      </c>
      <c r="G102" s="70">
        <f>'[1]特别隐藏版（勿动、勿看）'!G102</f>
        <v>0</v>
      </c>
      <c r="H102" s="70">
        <f>'[1]特别隐藏版（勿动、勿看）'!H102</f>
        <v>0</v>
      </c>
      <c r="I102" s="70">
        <f>'[1]特别隐藏版（勿动、勿看）'!I102</f>
        <v>0</v>
      </c>
      <c r="J102" s="70">
        <f>'[1]特别隐藏版（勿动、勿看）'!J102</f>
        <v>0</v>
      </c>
      <c r="K102" s="70">
        <f>'[1]特别隐藏版（勿动、勿看）'!K102</f>
        <v>0</v>
      </c>
      <c r="L102" s="70">
        <f>'[1]特别隐藏版（勿动、勿看）'!L102</f>
        <v>0</v>
      </c>
      <c r="M102" s="70">
        <f>'[1]特别隐藏版（勿动、勿看）'!M102</f>
        <v>0</v>
      </c>
      <c r="N102" s="70">
        <f>'[1]特别隐藏版（勿动、勿看）'!N102</f>
        <v>0</v>
      </c>
      <c r="O102" s="70">
        <f>'[1]特别隐藏版（勿动、勿看）'!O102</f>
        <v>0</v>
      </c>
    </row>
    <row r="103" s="67" customFormat="1" spans="1:15">
      <c r="A103" s="73">
        <f>'[1]特别隐藏版（勿动、勿看）'!A103</f>
        <v>0</v>
      </c>
      <c r="B103" s="70" t="str">
        <f>'[1]特别隐藏版（勿动、勿看）'!B103</f>
        <v>销量完成</v>
      </c>
      <c r="C103" s="70">
        <f>'[1]特别隐藏版（勿动、勿看）'!C103</f>
        <v>0</v>
      </c>
      <c r="D103" s="70">
        <f>'[1]特别隐藏版（勿动、勿看）'!D103</f>
        <v>0</v>
      </c>
      <c r="E103" s="70">
        <f>'[1]特别隐藏版（勿动、勿看）'!E103</f>
        <v>0</v>
      </c>
      <c r="F103" s="70">
        <f>'[1]特别隐藏版（勿动、勿看）'!F103</f>
        <v>0</v>
      </c>
      <c r="G103" s="70">
        <f>'[1]特别隐藏版（勿动、勿看）'!G103</f>
        <v>0</v>
      </c>
      <c r="H103" s="70">
        <f>'[1]特别隐藏版（勿动、勿看）'!H103</f>
        <v>0</v>
      </c>
      <c r="I103" s="70">
        <f>'[1]特别隐藏版（勿动、勿看）'!I103</f>
        <v>0</v>
      </c>
      <c r="J103" s="70">
        <f>'[1]特别隐藏版（勿动、勿看）'!J103</f>
        <v>0</v>
      </c>
      <c r="K103" s="70">
        <f>'[1]特别隐藏版（勿动、勿看）'!K103</f>
        <v>0</v>
      </c>
      <c r="L103" s="70">
        <f>'[1]特别隐藏版（勿动、勿看）'!L103</f>
        <v>0</v>
      </c>
      <c r="M103" s="70">
        <f>'[1]特别隐藏版（勿动、勿看）'!M103</f>
        <v>0</v>
      </c>
      <c r="N103" s="70">
        <f>'[1]特别隐藏版（勿动、勿看）'!N103</f>
        <v>0</v>
      </c>
      <c r="O103" s="70">
        <f>'[1]特别隐藏版（勿动、勿看）'!O103</f>
        <v>0</v>
      </c>
    </row>
    <row r="104" s="67" customFormat="1" spans="1:15">
      <c r="A104" s="73">
        <f>'[1]特别隐藏版（勿动、勿看）'!A104</f>
        <v>0</v>
      </c>
      <c r="B104" s="70" t="str">
        <f>'[1]特别隐藏版（勿动、勿看）'!B104</f>
        <v>实销完成</v>
      </c>
      <c r="C104" s="70">
        <f>'[1]特别隐藏版（勿动、勿看）'!C104</f>
        <v>0</v>
      </c>
      <c r="D104" s="70">
        <f>'[1]特别隐藏版（勿动、勿看）'!D104</f>
        <v>0</v>
      </c>
      <c r="E104" s="70">
        <f>'[1]特别隐藏版（勿动、勿看）'!E104</f>
        <v>0</v>
      </c>
      <c r="F104" s="70">
        <f>'[1]特别隐藏版（勿动、勿看）'!F104</f>
        <v>0</v>
      </c>
      <c r="G104" s="70">
        <f>'[1]特别隐藏版（勿动、勿看）'!G104</f>
        <v>0</v>
      </c>
      <c r="H104" s="70">
        <f>'[1]特别隐藏版（勿动、勿看）'!H104</f>
        <v>0</v>
      </c>
      <c r="I104" s="70">
        <f>'[1]特别隐藏版（勿动、勿看）'!I104</f>
        <v>0</v>
      </c>
      <c r="J104" s="70">
        <f>'[1]特别隐藏版（勿动、勿看）'!J104</f>
        <v>0</v>
      </c>
      <c r="K104" s="70">
        <f>'[1]特别隐藏版（勿动、勿看）'!K104</f>
        <v>0</v>
      </c>
      <c r="L104" s="70">
        <f>'[1]特别隐藏版（勿动、勿看）'!L104</f>
        <v>0</v>
      </c>
      <c r="M104" s="70">
        <f>'[1]特别隐藏版（勿动、勿看）'!M104</f>
        <v>0</v>
      </c>
      <c r="N104" s="70">
        <f>'[1]特别隐藏版（勿动、勿看）'!N104</f>
        <v>0</v>
      </c>
      <c r="O104" s="70">
        <f>'[1]特别隐藏版（勿动、勿看）'!O104</f>
        <v>0</v>
      </c>
    </row>
    <row r="105" s="67" customFormat="1" spans="1:15">
      <c r="A105" s="73">
        <f>'[1]特别隐藏版（勿动、勿看）'!A105</f>
        <v>0</v>
      </c>
      <c r="B105" s="70" t="str">
        <f>'[1]特别隐藏版（勿动、勿看）'!B105</f>
        <v>GMV完成</v>
      </c>
      <c r="C105" s="70">
        <f>'[1]特别隐藏版（勿动、勿看）'!C105</f>
        <v>0</v>
      </c>
      <c r="D105" s="70">
        <f>'[1]特别隐藏版（勿动、勿看）'!D105</f>
        <v>0</v>
      </c>
      <c r="E105" s="70">
        <f>'[1]特别隐藏版（勿动、勿看）'!E105</f>
        <v>0</v>
      </c>
      <c r="F105" s="70">
        <f>'[1]特别隐藏版（勿动、勿看）'!F105</f>
        <v>0</v>
      </c>
      <c r="G105" s="70">
        <f>'[1]特别隐藏版（勿动、勿看）'!G105</f>
        <v>0</v>
      </c>
      <c r="H105" s="70">
        <f>'[1]特别隐藏版（勿动、勿看）'!H105</f>
        <v>0</v>
      </c>
      <c r="I105" s="70">
        <f>'[1]特别隐藏版（勿动、勿看）'!I105</f>
        <v>0</v>
      </c>
      <c r="J105" s="70">
        <f>'[1]特别隐藏版（勿动、勿看）'!J105</f>
        <v>0</v>
      </c>
      <c r="K105" s="70">
        <f>'[1]特别隐藏版（勿动、勿看）'!K105</f>
        <v>0</v>
      </c>
      <c r="L105" s="70">
        <f>'[1]特别隐藏版（勿动、勿看）'!L105</f>
        <v>0</v>
      </c>
      <c r="M105" s="70">
        <f>'[1]特别隐藏版（勿动、勿看）'!M105</f>
        <v>0</v>
      </c>
      <c r="N105" s="70">
        <f>'[1]特别隐藏版（勿动、勿看）'!N105</f>
        <v>0</v>
      </c>
      <c r="O105" s="70">
        <f>'[1]特别隐藏版（勿动、勿看）'!O105</f>
        <v>0</v>
      </c>
    </row>
    <row r="106" s="67" customFormat="1" spans="1:15">
      <c r="A106" s="73">
        <f>'[1]特别隐藏版（勿动、勿看）'!A106</f>
        <v>0</v>
      </c>
      <c r="B106" s="70" t="str">
        <f>'[1]特别隐藏版（勿动、勿看）'!B106</f>
        <v>GSV完成</v>
      </c>
      <c r="C106" s="70">
        <f>'[1]特别隐藏版（勿动、勿看）'!C106</f>
        <v>0</v>
      </c>
      <c r="D106" s="70">
        <f>'[1]特别隐藏版（勿动、勿看）'!D106</f>
        <v>0</v>
      </c>
      <c r="E106" s="70">
        <f>'[1]特别隐藏版（勿动、勿看）'!E106</f>
        <v>0</v>
      </c>
      <c r="F106" s="70">
        <f>'[1]特别隐藏版（勿动、勿看）'!F106</f>
        <v>0</v>
      </c>
      <c r="G106" s="70">
        <f>'[1]特别隐藏版（勿动、勿看）'!G106</f>
        <v>0</v>
      </c>
      <c r="H106" s="70">
        <f>'[1]特别隐藏版（勿动、勿看）'!H106</f>
        <v>0</v>
      </c>
      <c r="I106" s="70">
        <f>'[1]特别隐藏版（勿动、勿看）'!I106</f>
        <v>0</v>
      </c>
      <c r="J106" s="70">
        <f>'[1]特别隐藏版（勿动、勿看）'!J106</f>
        <v>0</v>
      </c>
      <c r="K106" s="70">
        <f>'[1]特别隐藏版（勿动、勿看）'!K106</f>
        <v>0</v>
      </c>
      <c r="L106" s="70">
        <f>'[1]特别隐藏版（勿动、勿看）'!L106</f>
        <v>0</v>
      </c>
      <c r="M106" s="70">
        <f>'[1]特别隐藏版（勿动、勿看）'!M106</f>
        <v>0</v>
      </c>
      <c r="N106" s="70">
        <f>'[1]特别隐藏版（勿动、勿看）'!N106</f>
        <v>0</v>
      </c>
      <c r="O106" s="70">
        <f>'[1]特别隐藏版（勿动、勿看）'!O106</f>
        <v>0</v>
      </c>
    </row>
    <row r="107" s="67" customFormat="1" spans="1:15">
      <c r="A107" s="73">
        <f>'[1]特别隐藏版（勿动、勿看）'!A107</f>
        <v>0</v>
      </c>
      <c r="B107" s="70" t="str">
        <f>'[1]特别隐藏版（勿动、勿看）'!B107</f>
        <v>退款率</v>
      </c>
      <c r="C107" s="13" t="e">
        <f>'[1]特别隐藏版（勿动、勿看）'!C107</f>
        <v>#DIV/0!</v>
      </c>
      <c r="D107" s="13" t="e">
        <f>'[1]特别隐藏版（勿动、勿看）'!D107</f>
        <v>#DIV/0!</v>
      </c>
      <c r="E107" s="13" t="e">
        <f>'[1]特别隐藏版（勿动、勿看）'!E107</f>
        <v>#DIV/0!</v>
      </c>
      <c r="F107" s="13" t="e">
        <f>'[1]特别隐藏版（勿动、勿看）'!F107</f>
        <v>#DIV/0!</v>
      </c>
      <c r="G107" s="13" t="e">
        <f>'[1]特别隐藏版（勿动、勿看）'!G107</f>
        <v>#DIV/0!</v>
      </c>
      <c r="H107" s="13" t="e">
        <f>'[1]特别隐藏版（勿动、勿看）'!H107</f>
        <v>#DIV/0!</v>
      </c>
      <c r="I107" s="13" t="e">
        <f>'[1]特别隐藏版（勿动、勿看）'!I107</f>
        <v>#DIV/0!</v>
      </c>
      <c r="J107" s="13" t="e">
        <f>'[1]特别隐藏版（勿动、勿看）'!J107</f>
        <v>#DIV/0!</v>
      </c>
      <c r="K107" s="13" t="e">
        <f>'[1]特别隐藏版（勿动、勿看）'!K107</f>
        <v>#DIV/0!</v>
      </c>
      <c r="L107" s="13" t="e">
        <f>'[1]特别隐藏版（勿动、勿看）'!L107</f>
        <v>#DIV/0!</v>
      </c>
      <c r="M107" s="13" t="e">
        <f>'[1]特别隐藏版（勿动、勿看）'!M107</f>
        <v>#DIV/0!</v>
      </c>
      <c r="N107" s="13" t="e">
        <f>'[1]特别隐藏版（勿动、勿看）'!N107</f>
        <v>#DIV/0!</v>
      </c>
      <c r="O107" s="13" t="e">
        <f>'[1]特别隐藏版（勿动、勿看）'!O107</f>
        <v>#DIV/0!</v>
      </c>
    </row>
    <row r="108" s="67" customFormat="1" spans="1:15">
      <c r="A108" s="73">
        <f>'[1]特别隐藏版（勿动、勿看）'!A108</f>
        <v>0</v>
      </c>
      <c r="B108" s="70" t="str">
        <f>'[1]特别隐藏版（勿动、勿看）'!B108</f>
        <v>退货率</v>
      </c>
      <c r="C108" s="13" t="e">
        <f>'[1]特别隐藏版（勿动、勿看）'!C108</f>
        <v>#DIV/0!</v>
      </c>
      <c r="D108" s="13" t="e">
        <f>'[1]特别隐藏版（勿动、勿看）'!D108</f>
        <v>#DIV/0!</v>
      </c>
      <c r="E108" s="13" t="e">
        <f>'[1]特别隐藏版（勿动、勿看）'!E108</f>
        <v>#DIV/0!</v>
      </c>
      <c r="F108" s="13" t="e">
        <f>'[1]特别隐藏版（勿动、勿看）'!F108</f>
        <v>#DIV/0!</v>
      </c>
      <c r="G108" s="13" t="e">
        <f>'[1]特别隐藏版（勿动、勿看）'!G108</f>
        <v>#DIV/0!</v>
      </c>
      <c r="H108" s="13" t="e">
        <f>'[1]特别隐藏版（勿动、勿看）'!H108</f>
        <v>#DIV/0!</v>
      </c>
      <c r="I108" s="13" t="e">
        <f>'[1]特别隐藏版（勿动、勿看）'!I108</f>
        <v>#DIV/0!</v>
      </c>
      <c r="J108" s="13" t="e">
        <f>'[1]特别隐藏版（勿动、勿看）'!J108</f>
        <v>#DIV/0!</v>
      </c>
      <c r="K108" s="13" t="e">
        <f>'[1]特别隐藏版（勿动、勿看）'!K108</f>
        <v>#DIV/0!</v>
      </c>
      <c r="L108" s="13" t="e">
        <f>'[1]特别隐藏版（勿动、勿看）'!L108</f>
        <v>#DIV/0!</v>
      </c>
      <c r="M108" s="13" t="e">
        <f>'[1]特别隐藏版（勿动、勿看）'!M108</f>
        <v>#DIV/0!</v>
      </c>
      <c r="N108" s="13" t="e">
        <f>'[1]特别隐藏版（勿动、勿看）'!N108</f>
        <v>#DIV/0!</v>
      </c>
      <c r="O108" s="13" t="e">
        <f>'[1]特别隐藏版（勿动、勿看）'!O108</f>
        <v>#DIV/0!</v>
      </c>
    </row>
    <row r="109" s="67" customFormat="1" spans="1:15">
      <c r="A109" s="78">
        <f>'[1]特别隐藏版（勿动、勿看）'!A109</f>
        <v>0</v>
      </c>
      <c r="B109" s="70" t="str">
        <f>'[1]特别隐藏版（勿动、勿看）'!B109</f>
        <v>利润率</v>
      </c>
      <c r="C109" s="13" t="e">
        <f>'[1]特别隐藏版（勿动、勿看）'!C109</f>
        <v>#DIV/0!</v>
      </c>
      <c r="D109" s="13" t="e">
        <f>'[1]特别隐藏版（勿动、勿看）'!D109</f>
        <v>#DIV/0!</v>
      </c>
      <c r="E109" s="13" t="e">
        <f>'[1]特别隐藏版（勿动、勿看）'!E109</f>
        <v>#DIV/0!</v>
      </c>
      <c r="F109" s="13" t="e">
        <f>'[1]特别隐藏版（勿动、勿看）'!F109</f>
        <v>#DIV/0!</v>
      </c>
      <c r="G109" s="13" t="e">
        <f>'[1]特别隐藏版（勿动、勿看）'!G109</f>
        <v>#DIV/0!</v>
      </c>
      <c r="H109" s="13" t="e">
        <f>'[1]特别隐藏版（勿动、勿看）'!H109</f>
        <v>#DIV/0!</v>
      </c>
      <c r="I109" s="13" t="e">
        <f>'[1]特别隐藏版（勿动、勿看）'!I109</f>
        <v>#DIV/0!</v>
      </c>
      <c r="J109" s="13" t="e">
        <f>'[1]特别隐藏版（勿动、勿看）'!J109</f>
        <v>#DIV/0!</v>
      </c>
      <c r="K109" s="13" t="e">
        <f>'[1]特别隐藏版（勿动、勿看）'!K109</f>
        <v>#DIV/0!</v>
      </c>
      <c r="L109" s="13" t="e">
        <f>'[1]特别隐藏版（勿动、勿看）'!L109</f>
        <v>#DIV/0!</v>
      </c>
      <c r="M109" s="13" t="e">
        <f>'[1]特别隐藏版（勿动、勿看）'!M109</f>
        <v>#DIV/0!</v>
      </c>
      <c r="N109" s="13" t="e">
        <f>'[1]特别隐藏版（勿动、勿看）'!N109</f>
        <v>#DIV/0!</v>
      </c>
      <c r="O109" s="13" t="e">
        <f>'[1]特别隐藏版（勿动、勿看）'!O109</f>
        <v>#DIV/0!</v>
      </c>
    </row>
    <row r="110" s="67" customFormat="1" spans="1:15">
      <c r="A110" s="72" t="str">
        <f>'[1]特别隐藏版（勿动、勿看）'!A110</f>
        <v>新店6</v>
      </c>
      <c r="B110" s="70" t="str">
        <f>'[1]特别隐藏版（勿动、勿看）'!B110</f>
        <v>实际利润（人民币）</v>
      </c>
      <c r="C110" s="70">
        <f>'[1]特别隐藏版（勿动、勿看）'!C110</f>
        <v>0</v>
      </c>
      <c r="D110" s="70">
        <f>'[1]特别隐藏版（勿动、勿看）'!D110</f>
        <v>0</v>
      </c>
      <c r="E110" s="70">
        <f>'[1]特别隐藏版（勿动、勿看）'!E110</f>
        <v>0</v>
      </c>
      <c r="F110" s="70">
        <f>'[1]特别隐藏版（勿动、勿看）'!F110</f>
        <v>0</v>
      </c>
      <c r="G110" s="70">
        <f>'[1]特别隐藏版（勿动、勿看）'!G110</f>
        <v>0</v>
      </c>
      <c r="H110" s="70">
        <f>'[1]特别隐藏版（勿动、勿看）'!H110</f>
        <v>0</v>
      </c>
      <c r="I110" s="70">
        <f>'[1]特别隐藏版（勿动、勿看）'!I110</f>
        <v>0</v>
      </c>
      <c r="J110" s="70">
        <f>'[1]特别隐藏版（勿动、勿看）'!J110</f>
        <v>0</v>
      </c>
      <c r="K110" s="70">
        <f>'[1]特别隐藏版（勿动、勿看）'!K110</f>
        <v>0</v>
      </c>
      <c r="L110" s="70">
        <f>'[1]特别隐藏版（勿动、勿看）'!L110</f>
        <v>0</v>
      </c>
      <c r="M110" s="70">
        <f>'[1]特别隐藏版（勿动、勿看）'!M110</f>
        <v>0</v>
      </c>
      <c r="N110" s="70">
        <f>'[1]特别隐藏版（勿动、勿看）'!N110</f>
        <v>0</v>
      </c>
      <c r="O110" s="70">
        <f>'[1]特别隐藏版（勿动、勿看）'!O110</f>
        <v>0</v>
      </c>
    </row>
    <row r="111" s="67" customFormat="1" spans="1:15">
      <c r="A111" s="73">
        <f>'[1]特别隐藏版（勿动、勿看）'!A111</f>
        <v>0</v>
      </c>
      <c r="B111" s="70" t="str">
        <f>'[1]特别隐藏版（勿动、勿看）'!B111</f>
        <v>销量完成</v>
      </c>
      <c r="C111" s="70">
        <f>'[1]特别隐藏版（勿动、勿看）'!C111</f>
        <v>0</v>
      </c>
      <c r="D111" s="70">
        <f>'[1]特别隐藏版（勿动、勿看）'!D111</f>
        <v>0</v>
      </c>
      <c r="E111" s="70">
        <f>'[1]特别隐藏版（勿动、勿看）'!E111</f>
        <v>0</v>
      </c>
      <c r="F111" s="70">
        <f>'[1]特别隐藏版（勿动、勿看）'!F111</f>
        <v>0</v>
      </c>
      <c r="G111" s="70">
        <f>'[1]特别隐藏版（勿动、勿看）'!G111</f>
        <v>0</v>
      </c>
      <c r="H111" s="70">
        <f>'[1]特别隐藏版（勿动、勿看）'!H111</f>
        <v>0</v>
      </c>
      <c r="I111" s="70">
        <f>'[1]特别隐藏版（勿动、勿看）'!I111</f>
        <v>0</v>
      </c>
      <c r="J111" s="70">
        <f>'[1]特别隐藏版（勿动、勿看）'!J111</f>
        <v>0</v>
      </c>
      <c r="K111" s="70">
        <f>'[1]特别隐藏版（勿动、勿看）'!K111</f>
        <v>0</v>
      </c>
      <c r="L111" s="70">
        <f>'[1]特别隐藏版（勿动、勿看）'!L111</f>
        <v>0</v>
      </c>
      <c r="M111" s="70">
        <f>'[1]特别隐藏版（勿动、勿看）'!M111</f>
        <v>0</v>
      </c>
      <c r="N111" s="70">
        <f>'[1]特别隐藏版（勿动、勿看）'!N111</f>
        <v>0</v>
      </c>
      <c r="O111" s="70">
        <f>'[1]特别隐藏版（勿动、勿看）'!O111</f>
        <v>0</v>
      </c>
    </row>
    <row r="112" s="67" customFormat="1" spans="1:15">
      <c r="A112" s="73">
        <f>'[1]特别隐藏版（勿动、勿看）'!A112</f>
        <v>0</v>
      </c>
      <c r="B112" s="70" t="str">
        <f>'[1]特别隐藏版（勿动、勿看）'!B112</f>
        <v>实销完成</v>
      </c>
      <c r="C112" s="70">
        <f>'[1]特别隐藏版（勿动、勿看）'!C112</f>
        <v>0</v>
      </c>
      <c r="D112" s="70">
        <f>'[1]特别隐藏版（勿动、勿看）'!D112</f>
        <v>0</v>
      </c>
      <c r="E112" s="70">
        <f>'[1]特别隐藏版（勿动、勿看）'!E112</f>
        <v>0</v>
      </c>
      <c r="F112" s="70">
        <f>'[1]特别隐藏版（勿动、勿看）'!F112</f>
        <v>0</v>
      </c>
      <c r="G112" s="70">
        <f>'[1]特别隐藏版（勿动、勿看）'!G112</f>
        <v>0</v>
      </c>
      <c r="H112" s="70">
        <f>'[1]特别隐藏版（勿动、勿看）'!H112</f>
        <v>0</v>
      </c>
      <c r="I112" s="70">
        <f>'[1]特别隐藏版（勿动、勿看）'!I112</f>
        <v>0</v>
      </c>
      <c r="J112" s="70">
        <f>'[1]特别隐藏版（勿动、勿看）'!J112</f>
        <v>0</v>
      </c>
      <c r="K112" s="70">
        <f>'[1]特别隐藏版（勿动、勿看）'!K112</f>
        <v>0</v>
      </c>
      <c r="L112" s="70">
        <f>'[1]特别隐藏版（勿动、勿看）'!L112</f>
        <v>0</v>
      </c>
      <c r="M112" s="70">
        <f>'[1]特别隐藏版（勿动、勿看）'!M112</f>
        <v>0</v>
      </c>
      <c r="N112" s="70">
        <f>'[1]特别隐藏版（勿动、勿看）'!N112</f>
        <v>0</v>
      </c>
      <c r="O112" s="70">
        <f>'[1]特别隐藏版（勿动、勿看）'!O112</f>
        <v>0</v>
      </c>
    </row>
    <row r="113" s="67" customFormat="1" spans="1:15">
      <c r="A113" s="73">
        <f>'[1]特别隐藏版（勿动、勿看）'!A113</f>
        <v>0</v>
      </c>
      <c r="B113" s="70" t="str">
        <f>'[1]特别隐藏版（勿动、勿看）'!B113</f>
        <v>GMV完成</v>
      </c>
      <c r="C113" s="70">
        <f>'[1]特别隐藏版（勿动、勿看）'!C113</f>
        <v>0</v>
      </c>
      <c r="D113" s="70">
        <f>'[1]特别隐藏版（勿动、勿看）'!D113</f>
        <v>0</v>
      </c>
      <c r="E113" s="70">
        <f>'[1]特别隐藏版（勿动、勿看）'!E113</f>
        <v>0</v>
      </c>
      <c r="F113" s="70">
        <f>'[1]特别隐藏版（勿动、勿看）'!F113</f>
        <v>0</v>
      </c>
      <c r="G113" s="70">
        <f>'[1]特别隐藏版（勿动、勿看）'!G113</f>
        <v>0</v>
      </c>
      <c r="H113" s="70">
        <f>'[1]特别隐藏版（勿动、勿看）'!H113</f>
        <v>0</v>
      </c>
      <c r="I113" s="70">
        <f>'[1]特别隐藏版（勿动、勿看）'!I113</f>
        <v>0</v>
      </c>
      <c r="J113" s="70">
        <f>'[1]特别隐藏版（勿动、勿看）'!J113</f>
        <v>0</v>
      </c>
      <c r="K113" s="70">
        <f>'[1]特别隐藏版（勿动、勿看）'!K113</f>
        <v>0</v>
      </c>
      <c r="L113" s="70">
        <f>'[1]特别隐藏版（勿动、勿看）'!L113</f>
        <v>0</v>
      </c>
      <c r="M113" s="70">
        <f>'[1]特别隐藏版（勿动、勿看）'!M113</f>
        <v>0</v>
      </c>
      <c r="N113" s="70">
        <f>'[1]特别隐藏版（勿动、勿看）'!N113</f>
        <v>0</v>
      </c>
      <c r="O113" s="70">
        <f>'[1]特别隐藏版（勿动、勿看）'!O113</f>
        <v>0</v>
      </c>
    </row>
    <row r="114" s="67" customFormat="1" spans="1:15">
      <c r="A114" s="73">
        <f>'[1]特别隐藏版（勿动、勿看）'!A114</f>
        <v>0</v>
      </c>
      <c r="B114" s="70" t="str">
        <f>'[1]特别隐藏版（勿动、勿看）'!B114</f>
        <v>GSV完成</v>
      </c>
      <c r="C114" s="70">
        <f>'[1]特别隐藏版（勿动、勿看）'!C114</f>
        <v>0</v>
      </c>
      <c r="D114" s="70">
        <f>'[1]特别隐藏版（勿动、勿看）'!D114</f>
        <v>0</v>
      </c>
      <c r="E114" s="70">
        <f>'[1]特别隐藏版（勿动、勿看）'!E114</f>
        <v>0</v>
      </c>
      <c r="F114" s="70">
        <f>'[1]特别隐藏版（勿动、勿看）'!F114</f>
        <v>0</v>
      </c>
      <c r="G114" s="70">
        <f>'[1]特别隐藏版（勿动、勿看）'!G114</f>
        <v>0</v>
      </c>
      <c r="H114" s="70">
        <f>'[1]特别隐藏版（勿动、勿看）'!H114</f>
        <v>0</v>
      </c>
      <c r="I114" s="70">
        <f>'[1]特别隐藏版（勿动、勿看）'!I114</f>
        <v>0</v>
      </c>
      <c r="J114" s="70">
        <f>'[1]特别隐藏版（勿动、勿看）'!J114</f>
        <v>0</v>
      </c>
      <c r="K114" s="70">
        <f>'[1]特别隐藏版（勿动、勿看）'!K114</f>
        <v>0</v>
      </c>
      <c r="L114" s="70">
        <f>'[1]特别隐藏版（勿动、勿看）'!L114</f>
        <v>0</v>
      </c>
      <c r="M114" s="70">
        <f>'[1]特别隐藏版（勿动、勿看）'!M114</f>
        <v>0</v>
      </c>
      <c r="N114" s="70">
        <f>'[1]特别隐藏版（勿动、勿看）'!N114</f>
        <v>0</v>
      </c>
      <c r="O114" s="70">
        <f>'[1]特别隐藏版（勿动、勿看）'!O114</f>
        <v>0</v>
      </c>
    </row>
    <row r="115" s="67" customFormat="1" spans="1:15">
      <c r="A115" s="73">
        <f>'[1]特别隐藏版（勿动、勿看）'!A115</f>
        <v>0</v>
      </c>
      <c r="B115" s="70" t="str">
        <f>'[1]特别隐藏版（勿动、勿看）'!B115</f>
        <v>退款率</v>
      </c>
      <c r="C115" s="13" t="e">
        <f>'[1]特别隐藏版（勿动、勿看）'!C115</f>
        <v>#DIV/0!</v>
      </c>
      <c r="D115" s="13" t="e">
        <f>'[1]特别隐藏版（勿动、勿看）'!D115</f>
        <v>#DIV/0!</v>
      </c>
      <c r="E115" s="13" t="e">
        <f>'[1]特别隐藏版（勿动、勿看）'!E115</f>
        <v>#DIV/0!</v>
      </c>
      <c r="F115" s="13" t="e">
        <f>'[1]特别隐藏版（勿动、勿看）'!F115</f>
        <v>#DIV/0!</v>
      </c>
      <c r="G115" s="13" t="e">
        <f>'[1]特别隐藏版（勿动、勿看）'!G115</f>
        <v>#DIV/0!</v>
      </c>
      <c r="H115" s="13" t="e">
        <f>'[1]特别隐藏版（勿动、勿看）'!H115</f>
        <v>#DIV/0!</v>
      </c>
      <c r="I115" s="13" t="e">
        <f>'[1]特别隐藏版（勿动、勿看）'!I115</f>
        <v>#DIV/0!</v>
      </c>
      <c r="J115" s="13" t="e">
        <f>'[1]特别隐藏版（勿动、勿看）'!J115</f>
        <v>#DIV/0!</v>
      </c>
      <c r="K115" s="13" t="e">
        <f>'[1]特别隐藏版（勿动、勿看）'!K115</f>
        <v>#DIV/0!</v>
      </c>
      <c r="L115" s="13" t="e">
        <f>'[1]特别隐藏版（勿动、勿看）'!L115</f>
        <v>#DIV/0!</v>
      </c>
      <c r="M115" s="13" t="e">
        <f>'[1]特别隐藏版（勿动、勿看）'!M115</f>
        <v>#DIV/0!</v>
      </c>
      <c r="N115" s="13" t="e">
        <f>'[1]特别隐藏版（勿动、勿看）'!N115</f>
        <v>#DIV/0!</v>
      </c>
      <c r="O115" s="13" t="e">
        <f>'[1]特别隐藏版（勿动、勿看）'!O115</f>
        <v>#DIV/0!</v>
      </c>
    </row>
    <row r="116" s="67" customFormat="1" spans="1:15">
      <c r="A116" s="73">
        <f>'[1]特别隐藏版（勿动、勿看）'!A116</f>
        <v>0</v>
      </c>
      <c r="B116" s="70" t="str">
        <f>'[1]特别隐藏版（勿动、勿看）'!B116</f>
        <v>退货率</v>
      </c>
      <c r="C116" s="13" t="e">
        <f>'[1]特别隐藏版（勿动、勿看）'!C116</f>
        <v>#DIV/0!</v>
      </c>
      <c r="D116" s="13" t="e">
        <f>'[1]特别隐藏版（勿动、勿看）'!D116</f>
        <v>#DIV/0!</v>
      </c>
      <c r="E116" s="13" t="e">
        <f>'[1]特别隐藏版（勿动、勿看）'!E116</f>
        <v>#DIV/0!</v>
      </c>
      <c r="F116" s="13" t="e">
        <f>'[1]特别隐藏版（勿动、勿看）'!F116</f>
        <v>#DIV/0!</v>
      </c>
      <c r="G116" s="13" t="e">
        <f>'[1]特别隐藏版（勿动、勿看）'!G116</f>
        <v>#DIV/0!</v>
      </c>
      <c r="H116" s="13" t="e">
        <f>'[1]特别隐藏版（勿动、勿看）'!H116</f>
        <v>#DIV/0!</v>
      </c>
      <c r="I116" s="13" t="e">
        <f>'[1]特别隐藏版（勿动、勿看）'!I116</f>
        <v>#DIV/0!</v>
      </c>
      <c r="J116" s="13" t="e">
        <f>'[1]特别隐藏版（勿动、勿看）'!J116</f>
        <v>#DIV/0!</v>
      </c>
      <c r="K116" s="13" t="e">
        <f>'[1]特别隐藏版（勿动、勿看）'!K116</f>
        <v>#DIV/0!</v>
      </c>
      <c r="L116" s="13" t="e">
        <f>'[1]特别隐藏版（勿动、勿看）'!L116</f>
        <v>#DIV/0!</v>
      </c>
      <c r="M116" s="13" t="e">
        <f>'[1]特别隐藏版（勿动、勿看）'!M116</f>
        <v>#DIV/0!</v>
      </c>
      <c r="N116" s="13" t="e">
        <f>'[1]特别隐藏版（勿动、勿看）'!N116</f>
        <v>#DIV/0!</v>
      </c>
      <c r="O116" s="13" t="e">
        <f>'[1]特别隐藏版（勿动、勿看）'!O116</f>
        <v>#DIV/0!</v>
      </c>
    </row>
    <row r="117" s="67" customFormat="1" spans="1:15">
      <c r="A117" s="78">
        <f>'[1]特别隐藏版（勿动、勿看）'!A117</f>
        <v>0</v>
      </c>
      <c r="B117" s="70" t="str">
        <f>'[1]特别隐藏版（勿动、勿看）'!B117</f>
        <v>利润率</v>
      </c>
      <c r="C117" s="13" t="e">
        <f>'[1]特别隐藏版（勿动、勿看）'!C117</f>
        <v>#DIV/0!</v>
      </c>
      <c r="D117" s="13" t="e">
        <f>'[1]特别隐藏版（勿动、勿看）'!D117</f>
        <v>#DIV/0!</v>
      </c>
      <c r="E117" s="13" t="e">
        <f>'[1]特别隐藏版（勿动、勿看）'!E117</f>
        <v>#DIV/0!</v>
      </c>
      <c r="F117" s="13" t="e">
        <f>'[1]特别隐藏版（勿动、勿看）'!F117</f>
        <v>#DIV/0!</v>
      </c>
      <c r="G117" s="13" t="e">
        <f>'[1]特别隐藏版（勿动、勿看）'!G117</f>
        <v>#DIV/0!</v>
      </c>
      <c r="H117" s="13" t="e">
        <f>'[1]特别隐藏版（勿动、勿看）'!H117</f>
        <v>#DIV/0!</v>
      </c>
      <c r="I117" s="13" t="e">
        <f>'[1]特别隐藏版（勿动、勿看）'!I117</f>
        <v>#DIV/0!</v>
      </c>
      <c r="J117" s="13" t="e">
        <f>'[1]特别隐藏版（勿动、勿看）'!J117</f>
        <v>#DIV/0!</v>
      </c>
      <c r="K117" s="13" t="e">
        <f>'[1]特别隐藏版（勿动、勿看）'!K117</f>
        <v>#DIV/0!</v>
      </c>
      <c r="L117" s="13" t="e">
        <f>'[1]特别隐藏版（勿动、勿看）'!L117</f>
        <v>#DIV/0!</v>
      </c>
      <c r="M117" s="13" t="e">
        <f>'[1]特别隐藏版（勿动、勿看）'!M117</f>
        <v>#DIV/0!</v>
      </c>
      <c r="N117" s="13" t="e">
        <f>'[1]特别隐藏版（勿动、勿看）'!N117</f>
        <v>#DIV/0!</v>
      </c>
      <c r="O117" s="13" t="e">
        <f>'[1]特别隐藏版（勿动、勿看）'!O117</f>
        <v>#DIV/0!</v>
      </c>
    </row>
    <row r="118" s="67" customFormat="1" spans="1:15">
      <c r="A118" s="72" t="str">
        <f>'[1]特别隐藏版（勿动、勿看）'!A118</f>
        <v>新店7</v>
      </c>
      <c r="B118" s="70" t="str">
        <f>'[1]特别隐藏版（勿动、勿看）'!B118</f>
        <v>实际利润（人民币）</v>
      </c>
      <c r="C118" s="70">
        <f>'[1]特别隐藏版（勿动、勿看）'!C118</f>
        <v>0</v>
      </c>
      <c r="D118" s="70">
        <f>'[1]特别隐藏版（勿动、勿看）'!D118</f>
        <v>0</v>
      </c>
      <c r="E118" s="70">
        <f>'[1]特别隐藏版（勿动、勿看）'!E118</f>
        <v>0</v>
      </c>
      <c r="F118" s="70">
        <f>'[1]特别隐藏版（勿动、勿看）'!F118</f>
        <v>0</v>
      </c>
      <c r="G118" s="70">
        <f>'[1]特别隐藏版（勿动、勿看）'!G118</f>
        <v>0</v>
      </c>
      <c r="H118" s="70">
        <f>'[1]特别隐藏版（勿动、勿看）'!H118</f>
        <v>0</v>
      </c>
      <c r="I118" s="70">
        <f>'[1]特别隐藏版（勿动、勿看）'!I118</f>
        <v>0</v>
      </c>
      <c r="J118" s="70">
        <f>'[1]特别隐藏版（勿动、勿看）'!J118</f>
        <v>0</v>
      </c>
      <c r="K118" s="70">
        <f>'[1]特别隐藏版（勿动、勿看）'!K118</f>
        <v>0</v>
      </c>
      <c r="L118" s="70">
        <f>'[1]特别隐藏版（勿动、勿看）'!L118</f>
        <v>0</v>
      </c>
      <c r="M118" s="70">
        <f>'[1]特别隐藏版（勿动、勿看）'!M118</f>
        <v>0</v>
      </c>
      <c r="N118" s="70">
        <f>'[1]特别隐藏版（勿动、勿看）'!N118</f>
        <v>0</v>
      </c>
      <c r="O118" s="70">
        <f>'[1]特别隐藏版（勿动、勿看）'!O118</f>
        <v>0</v>
      </c>
    </row>
    <row r="119" s="67" customFormat="1" spans="1:15">
      <c r="A119" s="73">
        <f>'[1]特别隐藏版（勿动、勿看）'!A119</f>
        <v>0</v>
      </c>
      <c r="B119" s="70" t="str">
        <f>'[1]特别隐藏版（勿动、勿看）'!B119</f>
        <v>销量完成</v>
      </c>
      <c r="C119" s="70">
        <f>'[1]特别隐藏版（勿动、勿看）'!C119</f>
        <v>0</v>
      </c>
      <c r="D119" s="70">
        <f>'[1]特别隐藏版（勿动、勿看）'!D119</f>
        <v>0</v>
      </c>
      <c r="E119" s="70">
        <f>'[1]特别隐藏版（勿动、勿看）'!E119</f>
        <v>0</v>
      </c>
      <c r="F119" s="70">
        <f>'[1]特别隐藏版（勿动、勿看）'!F119</f>
        <v>0</v>
      </c>
      <c r="G119" s="70">
        <f>'[1]特别隐藏版（勿动、勿看）'!G119</f>
        <v>0</v>
      </c>
      <c r="H119" s="70">
        <f>'[1]特别隐藏版（勿动、勿看）'!H119</f>
        <v>0</v>
      </c>
      <c r="I119" s="70">
        <f>'[1]特别隐藏版（勿动、勿看）'!I119</f>
        <v>0</v>
      </c>
      <c r="J119" s="70">
        <f>'[1]特别隐藏版（勿动、勿看）'!J119</f>
        <v>0</v>
      </c>
      <c r="K119" s="70">
        <f>'[1]特别隐藏版（勿动、勿看）'!K119</f>
        <v>0</v>
      </c>
      <c r="L119" s="70">
        <f>'[1]特别隐藏版（勿动、勿看）'!L119</f>
        <v>0</v>
      </c>
      <c r="M119" s="70">
        <f>'[1]特别隐藏版（勿动、勿看）'!M119</f>
        <v>0</v>
      </c>
      <c r="N119" s="70">
        <f>'[1]特别隐藏版（勿动、勿看）'!N119</f>
        <v>0</v>
      </c>
      <c r="O119" s="70">
        <f>'[1]特别隐藏版（勿动、勿看）'!O119</f>
        <v>0</v>
      </c>
    </row>
    <row r="120" s="67" customFormat="1" spans="1:15">
      <c r="A120" s="73">
        <f>'[1]特别隐藏版（勿动、勿看）'!A120</f>
        <v>0</v>
      </c>
      <c r="B120" s="70" t="str">
        <f>'[1]特别隐藏版（勿动、勿看）'!B120</f>
        <v>实销完成</v>
      </c>
      <c r="C120" s="70">
        <f>'[1]特别隐藏版（勿动、勿看）'!C120</f>
        <v>0</v>
      </c>
      <c r="D120" s="70">
        <f>'[1]特别隐藏版（勿动、勿看）'!D120</f>
        <v>0</v>
      </c>
      <c r="E120" s="70">
        <f>'[1]特别隐藏版（勿动、勿看）'!E120</f>
        <v>0</v>
      </c>
      <c r="F120" s="70">
        <f>'[1]特别隐藏版（勿动、勿看）'!F120</f>
        <v>0</v>
      </c>
      <c r="G120" s="70">
        <f>'[1]特别隐藏版（勿动、勿看）'!G120</f>
        <v>0</v>
      </c>
      <c r="H120" s="70">
        <f>'[1]特别隐藏版（勿动、勿看）'!H120</f>
        <v>0</v>
      </c>
      <c r="I120" s="70">
        <f>'[1]特别隐藏版（勿动、勿看）'!I120</f>
        <v>0</v>
      </c>
      <c r="J120" s="70">
        <f>'[1]特别隐藏版（勿动、勿看）'!J120</f>
        <v>0</v>
      </c>
      <c r="K120" s="70">
        <f>'[1]特别隐藏版（勿动、勿看）'!K120</f>
        <v>0</v>
      </c>
      <c r="L120" s="70">
        <f>'[1]特别隐藏版（勿动、勿看）'!L120</f>
        <v>0</v>
      </c>
      <c r="M120" s="70">
        <f>'[1]特别隐藏版（勿动、勿看）'!M120</f>
        <v>0</v>
      </c>
      <c r="N120" s="70">
        <f>'[1]特别隐藏版（勿动、勿看）'!N120</f>
        <v>0</v>
      </c>
      <c r="O120" s="70">
        <f>'[1]特别隐藏版（勿动、勿看）'!O120</f>
        <v>0</v>
      </c>
    </row>
    <row r="121" s="67" customFormat="1" spans="1:15">
      <c r="A121" s="73">
        <f>'[1]特别隐藏版（勿动、勿看）'!A121</f>
        <v>0</v>
      </c>
      <c r="B121" s="70" t="str">
        <f>'[1]特别隐藏版（勿动、勿看）'!B121</f>
        <v>GMV完成</v>
      </c>
      <c r="C121" s="70">
        <f>'[1]特别隐藏版（勿动、勿看）'!C121</f>
        <v>0</v>
      </c>
      <c r="D121" s="70">
        <f>'[1]特别隐藏版（勿动、勿看）'!D121</f>
        <v>0</v>
      </c>
      <c r="E121" s="70">
        <f>'[1]特别隐藏版（勿动、勿看）'!E121</f>
        <v>0</v>
      </c>
      <c r="F121" s="70">
        <f>'[1]特别隐藏版（勿动、勿看）'!F121</f>
        <v>0</v>
      </c>
      <c r="G121" s="70">
        <f>'[1]特别隐藏版（勿动、勿看）'!G121</f>
        <v>0</v>
      </c>
      <c r="H121" s="70">
        <f>'[1]特别隐藏版（勿动、勿看）'!H121</f>
        <v>0</v>
      </c>
      <c r="I121" s="70">
        <f>'[1]特别隐藏版（勿动、勿看）'!I121</f>
        <v>0</v>
      </c>
      <c r="J121" s="70">
        <f>'[1]特别隐藏版（勿动、勿看）'!J121</f>
        <v>0</v>
      </c>
      <c r="K121" s="70">
        <f>'[1]特别隐藏版（勿动、勿看）'!K121</f>
        <v>0</v>
      </c>
      <c r="L121" s="70">
        <f>'[1]特别隐藏版（勿动、勿看）'!L121</f>
        <v>0</v>
      </c>
      <c r="M121" s="70">
        <f>'[1]特别隐藏版（勿动、勿看）'!M121</f>
        <v>0</v>
      </c>
      <c r="N121" s="70">
        <f>'[1]特别隐藏版（勿动、勿看）'!N121</f>
        <v>0</v>
      </c>
      <c r="O121" s="70">
        <f>'[1]特别隐藏版（勿动、勿看）'!O121</f>
        <v>0</v>
      </c>
    </row>
    <row r="122" s="67" customFormat="1" spans="1:15">
      <c r="A122" s="73">
        <f>'[1]特别隐藏版（勿动、勿看）'!A122</f>
        <v>0</v>
      </c>
      <c r="B122" s="70" t="str">
        <f>'[1]特别隐藏版（勿动、勿看）'!B122</f>
        <v>GSV完成</v>
      </c>
      <c r="C122" s="70">
        <f>'[1]特别隐藏版（勿动、勿看）'!C122</f>
        <v>0</v>
      </c>
      <c r="D122" s="70">
        <f>'[1]特别隐藏版（勿动、勿看）'!D122</f>
        <v>0</v>
      </c>
      <c r="E122" s="70">
        <f>'[1]特别隐藏版（勿动、勿看）'!E122</f>
        <v>0</v>
      </c>
      <c r="F122" s="70">
        <f>'[1]特别隐藏版（勿动、勿看）'!F122</f>
        <v>0</v>
      </c>
      <c r="G122" s="70">
        <f>'[1]特别隐藏版（勿动、勿看）'!G122</f>
        <v>0</v>
      </c>
      <c r="H122" s="70">
        <f>'[1]特别隐藏版（勿动、勿看）'!H122</f>
        <v>0</v>
      </c>
      <c r="I122" s="70">
        <f>'[1]特别隐藏版（勿动、勿看）'!I122</f>
        <v>0</v>
      </c>
      <c r="J122" s="70">
        <f>'[1]特别隐藏版（勿动、勿看）'!J122</f>
        <v>0</v>
      </c>
      <c r="K122" s="70">
        <f>'[1]特别隐藏版（勿动、勿看）'!K122</f>
        <v>0</v>
      </c>
      <c r="L122" s="70">
        <f>'[1]特别隐藏版（勿动、勿看）'!L122</f>
        <v>0</v>
      </c>
      <c r="M122" s="70">
        <f>'[1]特别隐藏版（勿动、勿看）'!M122</f>
        <v>0</v>
      </c>
      <c r="N122" s="70">
        <f>'[1]特别隐藏版（勿动、勿看）'!N122</f>
        <v>0</v>
      </c>
      <c r="O122" s="70">
        <f>'[1]特别隐藏版（勿动、勿看）'!O122</f>
        <v>0</v>
      </c>
    </row>
    <row r="123" s="67" customFormat="1" spans="1:15">
      <c r="A123" s="73">
        <f>'[1]特别隐藏版（勿动、勿看）'!A123</f>
        <v>0</v>
      </c>
      <c r="B123" s="70" t="str">
        <f>'[1]特别隐藏版（勿动、勿看）'!B123</f>
        <v>退款率</v>
      </c>
      <c r="C123" s="13" t="e">
        <f>'[1]特别隐藏版（勿动、勿看）'!C123</f>
        <v>#DIV/0!</v>
      </c>
      <c r="D123" s="13" t="e">
        <f>'[1]特别隐藏版（勿动、勿看）'!D123</f>
        <v>#DIV/0!</v>
      </c>
      <c r="E123" s="13" t="e">
        <f>'[1]特别隐藏版（勿动、勿看）'!E123</f>
        <v>#DIV/0!</v>
      </c>
      <c r="F123" s="13" t="e">
        <f>'[1]特别隐藏版（勿动、勿看）'!F123</f>
        <v>#DIV/0!</v>
      </c>
      <c r="G123" s="13" t="e">
        <f>'[1]特别隐藏版（勿动、勿看）'!G123</f>
        <v>#DIV/0!</v>
      </c>
      <c r="H123" s="13" t="e">
        <f>'[1]特别隐藏版（勿动、勿看）'!H123</f>
        <v>#DIV/0!</v>
      </c>
      <c r="I123" s="13" t="e">
        <f>'[1]特别隐藏版（勿动、勿看）'!I123</f>
        <v>#DIV/0!</v>
      </c>
      <c r="J123" s="13" t="e">
        <f>'[1]特别隐藏版（勿动、勿看）'!J123</f>
        <v>#DIV/0!</v>
      </c>
      <c r="K123" s="13" t="e">
        <f>'[1]特别隐藏版（勿动、勿看）'!K123</f>
        <v>#DIV/0!</v>
      </c>
      <c r="L123" s="13" t="e">
        <f>'[1]特别隐藏版（勿动、勿看）'!L123</f>
        <v>#DIV/0!</v>
      </c>
      <c r="M123" s="13" t="e">
        <f>'[1]特别隐藏版（勿动、勿看）'!M123</f>
        <v>#DIV/0!</v>
      </c>
      <c r="N123" s="13" t="e">
        <f>'[1]特别隐藏版（勿动、勿看）'!N123</f>
        <v>#DIV/0!</v>
      </c>
      <c r="O123" s="13" t="e">
        <f>'[1]特别隐藏版（勿动、勿看）'!O123</f>
        <v>#DIV/0!</v>
      </c>
    </row>
    <row r="124" s="67" customFormat="1" spans="1:15">
      <c r="A124" s="73">
        <f>'[1]特别隐藏版（勿动、勿看）'!A124</f>
        <v>0</v>
      </c>
      <c r="B124" s="70" t="str">
        <f>'[1]特别隐藏版（勿动、勿看）'!B124</f>
        <v>退货率</v>
      </c>
      <c r="C124" s="13" t="e">
        <f>'[1]特别隐藏版（勿动、勿看）'!C124</f>
        <v>#DIV/0!</v>
      </c>
      <c r="D124" s="13" t="e">
        <f>'[1]特别隐藏版（勿动、勿看）'!D124</f>
        <v>#DIV/0!</v>
      </c>
      <c r="E124" s="13" t="e">
        <f>'[1]特别隐藏版（勿动、勿看）'!E124</f>
        <v>#DIV/0!</v>
      </c>
      <c r="F124" s="13" t="e">
        <f>'[1]特别隐藏版（勿动、勿看）'!F124</f>
        <v>#DIV/0!</v>
      </c>
      <c r="G124" s="13" t="e">
        <f>'[1]特别隐藏版（勿动、勿看）'!G124</f>
        <v>#DIV/0!</v>
      </c>
      <c r="H124" s="13" t="e">
        <f>'[1]特别隐藏版（勿动、勿看）'!H124</f>
        <v>#DIV/0!</v>
      </c>
      <c r="I124" s="13" t="e">
        <f>'[1]特别隐藏版（勿动、勿看）'!I124</f>
        <v>#DIV/0!</v>
      </c>
      <c r="J124" s="13" t="e">
        <f>'[1]特别隐藏版（勿动、勿看）'!J124</f>
        <v>#DIV/0!</v>
      </c>
      <c r="K124" s="13" t="e">
        <f>'[1]特别隐藏版（勿动、勿看）'!K124</f>
        <v>#DIV/0!</v>
      </c>
      <c r="L124" s="13" t="e">
        <f>'[1]特别隐藏版（勿动、勿看）'!L124</f>
        <v>#DIV/0!</v>
      </c>
      <c r="M124" s="13" t="e">
        <f>'[1]特别隐藏版（勿动、勿看）'!M124</f>
        <v>#DIV/0!</v>
      </c>
      <c r="N124" s="13" t="e">
        <f>'[1]特别隐藏版（勿动、勿看）'!N124</f>
        <v>#DIV/0!</v>
      </c>
      <c r="O124" s="13" t="e">
        <f>'[1]特别隐藏版（勿动、勿看）'!O124</f>
        <v>#DIV/0!</v>
      </c>
    </row>
    <row r="125" s="67" customFormat="1" spans="1:15">
      <c r="A125" s="78">
        <f>'[1]特别隐藏版（勿动、勿看）'!A125</f>
        <v>0</v>
      </c>
      <c r="B125" s="70" t="str">
        <f>'[1]特别隐藏版（勿动、勿看）'!B125</f>
        <v>利润率</v>
      </c>
      <c r="C125" s="13" t="e">
        <f>'[1]特别隐藏版（勿动、勿看）'!C125</f>
        <v>#DIV/0!</v>
      </c>
      <c r="D125" s="13" t="e">
        <f>'[1]特别隐藏版（勿动、勿看）'!D125</f>
        <v>#DIV/0!</v>
      </c>
      <c r="E125" s="13" t="e">
        <f>'[1]特别隐藏版（勿动、勿看）'!E125</f>
        <v>#DIV/0!</v>
      </c>
      <c r="F125" s="13" t="e">
        <f>'[1]特别隐藏版（勿动、勿看）'!F125</f>
        <v>#DIV/0!</v>
      </c>
      <c r="G125" s="13" t="e">
        <f>'[1]特别隐藏版（勿动、勿看）'!G125</f>
        <v>#DIV/0!</v>
      </c>
      <c r="H125" s="13" t="e">
        <f>'[1]特别隐藏版（勿动、勿看）'!H125</f>
        <v>#DIV/0!</v>
      </c>
      <c r="I125" s="13" t="e">
        <f>'[1]特别隐藏版（勿动、勿看）'!I125</f>
        <v>#DIV/0!</v>
      </c>
      <c r="J125" s="13" t="e">
        <f>'[1]特别隐藏版（勿动、勿看）'!J125</f>
        <v>#DIV/0!</v>
      </c>
      <c r="K125" s="13" t="e">
        <f>'[1]特别隐藏版（勿动、勿看）'!K125</f>
        <v>#DIV/0!</v>
      </c>
      <c r="L125" s="13" t="e">
        <f>'[1]特别隐藏版（勿动、勿看）'!L125</f>
        <v>#DIV/0!</v>
      </c>
      <c r="M125" s="13" t="e">
        <f>'[1]特别隐藏版（勿动、勿看）'!M125</f>
        <v>#DIV/0!</v>
      </c>
      <c r="N125" s="13" t="e">
        <f>'[1]特别隐藏版（勿动、勿看）'!N125</f>
        <v>#DIV/0!</v>
      </c>
      <c r="O125" s="13" t="e">
        <f>'[1]特别隐藏版（勿动、勿看）'!O125</f>
        <v>#DIV/0!</v>
      </c>
    </row>
    <row r="126" s="67" customFormat="1" spans="1:15">
      <c r="A126" s="70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0">
        <f>'[1]特别隐藏版（勿动、勿看）'!C126</f>
        <v>72321.76</v>
      </c>
      <c r="D126" s="70">
        <f>'[1]特别隐藏版（勿动、勿看）'!D126</f>
        <v>95377.43</v>
      </c>
      <c r="E126" s="70">
        <f>'[1]特别隐藏版（勿动、勿看）'!E126</f>
        <v>61256.54</v>
      </c>
      <c r="F126" s="70">
        <f>'[1]特别隐藏版（勿动、勿看）'!F126</f>
        <v>56073.62</v>
      </c>
      <c r="G126" s="70">
        <f>'[1]特别隐藏版（勿动、勿看）'!G126</f>
        <v>50110.01743891</v>
      </c>
      <c r="H126" s="70">
        <f>'[1]特别隐藏版（勿动、勿看）'!H126</f>
        <v>32496.529391726</v>
      </c>
      <c r="I126" s="70">
        <f>'[1]特别隐藏版（勿动、勿看）'!I126</f>
        <v>0</v>
      </c>
      <c r="J126" s="70">
        <f>'[1]特别隐藏版（勿动、勿看）'!J126</f>
        <v>0</v>
      </c>
      <c r="K126" s="70">
        <f>'[1]特别隐藏版（勿动、勿看）'!K126</f>
        <v>0</v>
      </c>
      <c r="L126" s="70">
        <f>'[1]特别隐藏版（勿动、勿看）'!L126</f>
        <v>0</v>
      </c>
      <c r="M126" s="70">
        <f>'[1]特别隐藏版（勿动、勿看）'!M126</f>
        <v>0</v>
      </c>
      <c r="N126" s="70">
        <f>'[1]特别隐藏版（勿动、勿看）'!N126</f>
        <v>0</v>
      </c>
      <c r="O126" s="70">
        <f>'[1]特别隐藏版（勿动、勿看）'!O126</f>
        <v>367635.896830636</v>
      </c>
    </row>
    <row r="127" s="67" customFormat="1" spans="1:15">
      <c r="A127" s="70">
        <f>'[1]特别隐藏版（勿动、勿看）'!A127</f>
        <v>0</v>
      </c>
      <c r="B127" s="116" t="str">
        <f>'[1]特别隐藏版（勿动、勿看）'!B127</f>
        <v>销量完成</v>
      </c>
      <c r="C127" s="70">
        <f>'[1]特别隐藏版（勿动、勿看）'!C127</f>
        <v>2973</v>
      </c>
      <c r="D127" s="70">
        <f>'[1]特别隐藏版（勿动、勿看）'!D127</f>
        <v>4432</v>
      </c>
      <c r="E127" s="70">
        <f>'[1]特别隐藏版（勿动、勿看）'!E127</f>
        <v>2846</v>
      </c>
      <c r="F127" s="70">
        <f>'[1]特别隐藏版（勿动、勿看）'!F127</f>
        <v>3125</v>
      </c>
      <c r="G127" s="70">
        <f>'[1]特别隐藏版（勿动、勿看）'!G127</f>
        <v>1662</v>
      </c>
      <c r="H127" s="70">
        <f>'[1]特别隐藏版（勿动、勿看）'!H127</f>
        <v>1102</v>
      </c>
      <c r="I127" s="70">
        <f>'[1]特别隐藏版（勿动、勿看）'!I127</f>
        <v>0</v>
      </c>
      <c r="J127" s="70">
        <f>'[1]特别隐藏版（勿动、勿看）'!J127</f>
        <v>0</v>
      </c>
      <c r="K127" s="70">
        <f>'[1]特别隐藏版（勿动、勿看）'!K127</f>
        <v>0</v>
      </c>
      <c r="L127" s="70">
        <f>'[1]特别隐藏版（勿动、勿看）'!L127</f>
        <v>0</v>
      </c>
      <c r="M127" s="70">
        <f>'[1]特别隐藏版（勿动、勿看）'!M127</f>
        <v>0</v>
      </c>
      <c r="N127" s="70">
        <f>'[1]特别隐藏版（勿动、勿看）'!N127</f>
        <v>0</v>
      </c>
      <c r="O127" s="70">
        <f>'[1]特别隐藏版（勿动、勿看）'!O127</f>
        <v>16140</v>
      </c>
    </row>
    <row r="128" s="67" customFormat="1" spans="1:15">
      <c r="A128" s="70">
        <f>'[1]特别隐藏版（勿动、勿看）'!A128</f>
        <v>0</v>
      </c>
      <c r="B128" s="116" t="str">
        <f>'[1]特别隐藏版（勿动、勿看）'!B128</f>
        <v>实销完成</v>
      </c>
      <c r="C128" s="70">
        <f>'[1]特别隐藏版（勿动、勿看）'!C128</f>
        <v>1142</v>
      </c>
      <c r="D128" s="70">
        <f>'[1]特别隐藏版（勿动、勿看）'!D128</f>
        <v>1591</v>
      </c>
      <c r="E128" s="70">
        <f>'[1]特别隐藏版（勿动、勿看）'!E128</f>
        <v>1078</v>
      </c>
      <c r="F128" s="70">
        <f>'[1]特别隐藏版（勿动、勿看）'!F128</f>
        <v>1163</v>
      </c>
      <c r="G128" s="70">
        <f>'[1]特别隐藏版（勿动、勿看）'!G128</f>
        <v>687</v>
      </c>
      <c r="H128" s="70">
        <f>'[1]特别隐藏版（勿动、勿看）'!H128</f>
        <v>468</v>
      </c>
      <c r="I128" s="70">
        <f>'[1]特别隐藏版（勿动、勿看）'!I128</f>
        <v>0</v>
      </c>
      <c r="J128" s="70">
        <f>'[1]特别隐藏版（勿动、勿看）'!J128</f>
        <v>0</v>
      </c>
      <c r="K128" s="70">
        <f>'[1]特别隐藏版（勿动、勿看）'!K128</f>
        <v>0</v>
      </c>
      <c r="L128" s="70">
        <f>'[1]特别隐藏版（勿动、勿看）'!L128</f>
        <v>0</v>
      </c>
      <c r="M128" s="70">
        <f>'[1]特别隐藏版（勿动、勿看）'!M128</f>
        <v>0</v>
      </c>
      <c r="N128" s="70">
        <f>'[1]特别隐藏版（勿动、勿看）'!N128</f>
        <v>0</v>
      </c>
      <c r="O128" s="70">
        <f>'[1]特别隐藏版（勿动、勿看）'!O128</f>
        <v>6129</v>
      </c>
    </row>
    <row r="129" s="67" customFormat="1" spans="1:15">
      <c r="A129" s="70">
        <f>'[1]特别隐藏版（勿动、勿看）'!A129</f>
        <v>0</v>
      </c>
      <c r="B129" s="116" t="str">
        <f>'[1]特别隐藏版（勿动、勿看）'!B129</f>
        <v>GMV完成</v>
      </c>
      <c r="C129" s="70">
        <f>'[1]特别隐藏版（勿动、勿看）'!C129</f>
        <v>12655308</v>
      </c>
      <c r="D129" s="70">
        <f>'[1]特别隐藏版（勿动、勿看）'!D129</f>
        <v>16371284</v>
      </c>
      <c r="E129" s="70">
        <f>'[1]特别隐藏版（勿动、勿看）'!E129</f>
        <v>12300849</v>
      </c>
      <c r="F129" s="70">
        <f>'[1]特别隐藏版（勿动、勿看）'!F129</f>
        <v>12576283</v>
      </c>
      <c r="G129" s="70">
        <f>'[1]特别隐藏版（勿动、勿看）'!G129</f>
        <v>6966652</v>
      </c>
      <c r="H129" s="70">
        <f>'[1]特别隐藏版（勿动、勿看）'!H129</f>
        <v>5552573</v>
      </c>
      <c r="I129" s="70">
        <f>'[1]特别隐藏版（勿动、勿看）'!I129</f>
        <v>0</v>
      </c>
      <c r="J129" s="70">
        <f>'[1]特别隐藏版（勿动、勿看）'!J129</f>
        <v>0</v>
      </c>
      <c r="K129" s="70">
        <f>'[1]特别隐藏版（勿动、勿看）'!K129</f>
        <v>0</v>
      </c>
      <c r="L129" s="70">
        <f>'[1]特别隐藏版（勿动、勿看）'!L129</f>
        <v>0</v>
      </c>
      <c r="M129" s="70">
        <f>'[1]特别隐藏版（勿动、勿看）'!M129</f>
        <v>0</v>
      </c>
      <c r="N129" s="70">
        <f>'[1]特别隐藏版（勿动、勿看）'!N129</f>
        <v>0</v>
      </c>
      <c r="O129" s="70">
        <f>'[1]特别隐藏版（勿动、勿看）'!O129</f>
        <v>66422949</v>
      </c>
    </row>
    <row r="130" s="67" customFormat="1" spans="1:15">
      <c r="A130" s="70">
        <f>'[1]特别隐藏版（勿动、勿看）'!A130</f>
        <v>0</v>
      </c>
      <c r="B130" s="116" t="str">
        <f>'[1]特别隐藏版（勿动、勿看）'!B130</f>
        <v>GSV完成</v>
      </c>
      <c r="C130" s="70">
        <f>'[1]特别隐藏版（勿动、勿看）'!C130</f>
        <v>407564.12</v>
      </c>
      <c r="D130" s="70">
        <f>'[1]特别隐藏版（勿动、勿看）'!D130</f>
        <v>570457.88</v>
      </c>
      <c r="E130" s="70">
        <f>'[1]特别隐藏版（勿动、勿看）'!E130</f>
        <v>395142.3</v>
      </c>
      <c r="F130" s="70">
        <f>'[1]特别隐藏版（勿动、勿看）'!F130</f>
        <v>435667.29</v>
      </c>
      <c r="G130" s="70">
        <f>'[1]特别隐藏版（勿动、勿看）'!G130</f>
        <v>271213.2648</v>
      </c>
      <c r="H130" s="70">
        <f>'[1]特别隐藏版（勿动、勿看）'!H130</f>
        <v>172890.2834</v>
      </c>
      <c r="I130" s="70">
        <f>'[1]特别隐藏版（勿动、勿看）'!I130</f>
        <v>0</v>
      </c>
      <c r="J130" s="70">
        <f>'[1]特别隐藏版（勿动、勿看）'!J130</f>
        <v>0</v>
      </c>
      <c r="K130" s="70">
        <f>'[1]特别隐藏版（勿动、勿看）'!K130</f>
        <v>0</v>
      </c>
      <c r="L130" s="70">
        <f>'[1]特别隐藏版（勿动、勿看）'!L130</f>
        <v>0</v>
      </c>
      <c r="M130" s="70">
        <f>'[1]特别隐藏版（勿动、勿看）'!M130</f>
        <v>0</v>
      </c>
      <c r="N130" s="70">
        <f>'[1]特别隐藏版（勿动、勿看）'!N130</f>
        <v>0</v>
      </c>
      <c r="O130" s="70">
        <f>'[1]特别隐藏版（勿动、勿看）'!O130</f>
        <v>2252935.1382</v>
      </c>
    </row>
    <row r="131" s="67" customFormat="1" spans="1:15">
      <c r="A131" s="70">
        <f>'[1]特别隐藏版（勿动、勿看）'!A131</f>
        <v>0</v>
      </c>
      <c r="B131" s="116" t="str">
        <f>'[1]特别隐藏版（勿动、勿看）'!B131</f>
        <v>退款率</v>
      </c>
      <c r="C131" s="13">
        <f>'[1]特别隐藏版（勿动、勿看）'!C131</f>
        <v>0.402562426769858</v>
      </c>
      <c r="D131" s="13">
        <f>'[1]特别隐藏版（勿动、勿看）'!D131</f>
        <v>0.435562873382442</v>
      </c>
      <c r="E131" s="13">
        <f>'[1]特别隐藏版（勿动、勿看）'!E131</f>
        <v>0.401539662018451</v>
      </c>
      <c r="F131" s="13">
        <f>'[1]特别隐藏版（勿动、勿看）'!F131</f>
        <v>0.433024696168176</v>
      </c>
      <c r="G131" s="13">
        <f>'[1]特别隐藏版（勿动、勿看）'!G131</f>
        <v>0.486627695771225</v>
      </c>
      <c r="H131" s="13">
        <f>'[1]特别隐藏版（勿动、勿看）'!H131</f>
        <v>0.389212090052666</v>
      </c>
      <c r="I131" s="13" t="e">
        <f>'[1]特别隐藏版（勿动、勿看）'!I131</f>
        <v>#DIV/0!</v>
      </c>
      <c r="J131" s="13" t="e">
        <f>'[1]特别隐藏版（勿动、勿看）'!J131</f>
        <v>#DIV/0!</v>
      </c>
      <c r="K131" s="13" t="e">
        <f>'[1]特别隐藏版（勿动、勿看）'!K131</f>
        <v>#DIV/0!</v>
      </c>
      <c r="L131" s="13" t="e">
        <f>'[1]特别隐藏版（勿动、勿看）'!L131</f>
        <v>#DIV/0!</v>
      </c>
      <c r="M131" s="13" t="e">
        <f>'[1]特别隐藏版（勿动、勿看）'!M131</f>
        <v>#DIV/0!</v>
      </c>
      <c r="N131" s="13" t="e">
        <f>'[1]特别隐藏版（勿动、勿看）'!N131</f>
        <v>#DIV/0!</v>
      </c>
      <c r="O131" s="13">
        <f>'[1]特别隐藏版（勿动、勿看）'!O131</f>
        <v>0.0339180233957996</v>
      </c>
    </row>
    <row r="132" s="67" customFormat="1" spans="1:15">
      <c r="A132" s="70">
        <f>'[1]特别隐藏版（勿动、勿看）'!A132</f>
        <v>0</v>
      </c>
      <c r="B132" s="116" t="str">
        <f>'[1]特别隐藏版（勿动、勿看）'!B132</f>
        <v>退货率</v>
      </c>
      <c r="C132" s="13">
        <f>'[1]特别隐藏版（勿动、勿看）'!C132</f>
        <v>0.615876219307097</v>
      </c>
      <c r="D132" s="13">
        <f>'[1]特别隐藏版（勿动、勿看）'!D132</f>
        <v>0.641019855595668</v>
      </c>
      <c r="E132" s="13">
        <f>'[1]特别隐藏版（勿动、勿看）'!E132</f>
        <v>0.621222768798313</v>
      </c>
      <c r="F132" s="13">
        <f>'[1]特别隐藏版（勿动、勿看）'!F132</f>
        <v>0.62784</v>
      </c>
      <c r="G132" s="13">
        <f>'[1]特别隐藏版（勿动、勿看）'!G132</f>
        <v>0.586642599277978</v>
      </c>
      <c r="H132" s="13">
        <f>'[1]特别隐藏版（勿动、勿看）'!H132</f>
        <v>0.575317604355717</v>
      </c>
      <c r="I132" s="13" t="e">
        <f>'[1]特别隐藏版（勿动、勿看）'!I132</f>
        <v>#DIV/0!</v>
      </c>
      <c r="J132" s="13" t="e">
        <f>'[1]特别隐藏版（勿动、勿看）'!J132</f>
        <v>#DIV/0!</v>
      </c>
      <c r="K132" s="13" t="e">
        <f>'[1]特别隐藏版（勿动、勿看）'!K132</f>
        <v>#DIV/0!</v>
      </c>
      <c r="L132" s="13" t="e">
        <f>'[1]特别隐藏版（勿动、勿看）'!L132</f>
        <v>#DIV/0!</v>
      </c>
      <c r="M132" s="13" t="e">
        <f>'[1]特别隐藏版（勿动、勿看）'!M132</f>
        <v>#DIV/0!</v>
      </c>
      <c r="N132" s="13" t="e">
        <f>'[1]特别隐藏版（勿动、勿看）'!N132</f>
        <v>#DIV/0!</v>
      </c>
      <c r="O132" s="13">
        <f>'[1]特别隐藏版（勿动、勿看）'!O132</f>
        <v>0.620260223048327</v>
      </c>
    </row>
    <row r="133" s="67" customFormat="1" spans="1:15">
      <c r="A133" s="70">
        <f>'[1]特别隐藏版（勿动、勿看）'!A133</f>
        <v>0</v>
      </c>
      <c r="B133" s="116" t="str">
        <f>'[1]特别隐藏版（勿动、勿看）'!B133</f>
        <v>利润率</v>
      </c>
      <c r="C133" s="13">
        <f>'[1]特别隐藏版（勿动、勿看）'!C133</f>
        <v>0.177448790143745</v>
      </c>
      <c r="D133" s="13">
        <f>'[1]特别隐藏版（勿动、勿看）'!D133</f>
        <v>0.16719451749882</v>
      </c>
      <c r="E133" s="13">
        <f>'[1]特别隐藏版（勿动、勿看）'!E133</f>
        <v>0.155024000214606</v>
      </c>
      <c r="F133" s="13">
        <f>'[1]特别隐藏版（勿动、勿看）'!F133</f>
        <v>0.128707436355849</v>
      </c>
      <c r="G133" s="13">
        <f>'[1]特别隐藏版（勿动、勿看）'!G133</f>
        <v>0.184762413725827</v>
      </c>
      <c r="H133" s="13">
        <f>'[1]特别隐藏版（勿动、勿看）'!H133</f>
        <v>0.187960414851897</v>
      </c>
      <c r="I133" s="13" t="e">
        <f>'[1]特别隐藏版（勿动、勿看）'!I133</f>
        <v>#DIV/0!</v>
      </c>
      <c r="J133" s="13" t="e">
        <f>'[1]特别隐藏版（勿动、勿看）'!J133</f>
        <v>#DIV/0!</v>
      </c>
      <c r="K133" s="13" t="e">
        <f>'[1]特别隐藏版（勿动、勿看）'!K133</f>
        <v>#DIV/0!</v>
      </c>
      <c r="L133" s="13" t="e">
        <f>'[1]特别隐藏版（勿动、勿看）'!L133</f>
        <v>#DIV/0!</v>
      </c>
      <c r="M133" s="13" t="e">
        <f>'[1]特别隐藏版（勿动、勿看）'!M133</f>
        <v>#DIV/0!</v>
      </c>
      <c r="N133" s="13" t="e">
        <f>'[1]特别隐藏版（勿动、勿看）'!N133</f>
        <v>#DIV/0!</v>
      </c>
      <c r="O133" s="13">
        <f>'[1]特别隐藏版（勿动、勿看）'!O133</f>
        <v>0.163180861533529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185" operator="greaterThan">
      <formula>0</formula>
    </cfRule>
  </conditionalFormatting>
  <conditionalFormatting sqref="C7:O7">
    <cfRule type="cellIs" dxfId="1" priority="184" operator="greaterThan">
      <formula>0</formula>
    </cfRule>
    <cfRule type="cellIs" dxfId="2" priority="183" operator="lessThan">
      <formula>0</formula>
    </cfRule>
  </conditionalFormatting>
  <conditionalFormatting sqref="C8:O8">
    <cfRule type="dataBar" priority="1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{def1cc48-045d-43d8-911d-da0189b8d53a}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{27dc84f6-5264-4585-9322-c916ee6a8210}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{e4cd20b2-5914-45be-89d0-9ebe5a7bccfb}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{1d7a31d5-2187-4d56-9aae-4b4cd1960308}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{9b0a9a7a-a9d7-41e5-83ae-135f858be01c}</x14:id>
        </ext>
      </extLst>
    </cfRule>
  </conditionalFormatting>
  <conditionalFormatting sqref="C27:O27">
    <cfRule type="dataBar" priority="1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{af12d1fb-72e9-42b8-a6dc-aa2115b1596c}</x14:id>
        </ext>
      </extLst>
    </cfRule>
  </conditionalFormatting>
  <conditionalFormatting sqref="C36:O36">
    <cfRule type="dataBar" priority="1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{5f2166c8-1a61-4cde-96cf-122c6218227b}</x14:id>
        </ext>
      </extLst>
    </cfRule>
  </conditionalFormatting>
  <conditionalFormatting sqref="C44:N44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{2330c03d-92eb-4eb6-aaaa-ed153cf3527f}</x14:id>
        </ext>
      </extLst>
    </cfRule>
    <cfRule type="cellIs" dxfId="1" priority="24" operator="greaterThan">
      <formula>0</formula>
    </cfRule>
    <cfRule type="cellIs" dxfId="2" priority="23" operator="lessThan">
      <formula>0</formula>
    </cfRule>
  </conditionalFormatting>
  <conditionalFormatting sqref="O44">
    <cfRule type="dataBar" priority="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{2b089e82-d75a-4b9b-863e-d67d565143c0}</x14:id>
        </ext>
      </extLst>
    </cfRule>
    <cfRule type="cellIs" dxfId="1" priority="54" operator="greaterThan">
      <formula>0</formula>
    </cfRule>
    <cfRule type="cellIs" dxfId="2" priority="53" operator="lessThan">
      <formula>0</formula>
    </cfRule>
  </conditionalFormatting>
  <conditionalFormatting sqref="B45">
    <cfRule type="cellIs" dxfId="1" priority="119" operator="greaterThan">
      <formula>0</formula>
    </cfRule>
    <cfRule type="cellIs" dxfId="2" priority="118" operator="lessThan">
      <formula>0</formula>
    </cfRule>
  </conditionalFormatting>
  <conditionalFormatting sqref="C52:N5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{7863629a-2b10-4a75-b9b9-5b00bb73b2bb}</x14:id>
        </ext>
      </extLst>
    </cfRule>
    <cfRule type="cellIs" dxfId="1" priority="18" operator="greaterThan">
      <formula>0</formula>
    </cfRule>
    <cfRule type="cellIs" dxfId="2" priority="17" operator="lessThan">
      <formula>0</formula>
    </cfRule>
  </conditionalFormatting>
  <conditionalFormatting sqref="O52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{77b48896-8834-49ae-ac67-a03268417c86}</x14:id>
        </ext>
      </extLst>
    </cfRule>
    <cfRule type="cellIs" dxfId="1" priority="48" operator="greaterThan">
      <formula>0</formula>
    </cfRule>
    <cfRule type="cellIs" dxfId="2" priority="47" operator="lessThan">
      <formula>0</formula>
    </cfRule>
  </conditionalFormatting>
  <conditionalFormatting sqref="B53">
    <cfRule type="cellIs" dxfId="1" priority="113" operator="greaterThan">
      <formula>0</formula>
    </cfRule>
    <cfRule type="cellIs" dxfId="2" priority="112" operator="lessThan">
      <formula>0</formula>
    </cfRule>
  </conditionalFormatting>
  <conditionalFormatting sqref="C60:N6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{82a1a8e8-a8a2-4e8d-a3eb-4a37deaa259c}</x14:id>
        </ext>
      </extLst>
    </cfRule>
    <cfRule type="cellIs" dxfId="1" priority="12" operator="greaterThan">
      <formula>0</formula>
    </cfRule>
    <cfRule type="cellIs" dxfId="2" priority="11" operator="lessThan">
      <formula>0</formula>
    </cfRule>
  </conditionalFormatting>
  <conditionalFormatting sqref="O60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{3ea12327-1484-4ca7-a2a3-3b9830597acd}</x14:id>
        </ext>
      </extLst>
    </cfRule>
    <cfRule type="cellIs" dxfId="1" priority="42" operator="greaterThan">
      <formula>0</formula>
    </cfRule>
    <cfRule type="cellIs" dxfId="2" priority="41" operator="lessThan">
      <formula>0</formula>
    </cfRule>
  </conditionalFormatting>
  <conditionalFormatting sqref="B61">
    <cfRule type="cellIs" dxfId="1" priority="107" operator="greaterThan">
      <formula>0</formula>
    </cfRule>
    <cfRule type="cellIs" dxfId="2" priority="106" operator="lessThan">
      <formula>0</formula>
    </cfRule>
  </conditionalFormatting>
  <conditionalFormatting sqref="C68:N68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{d365cafd-d987-4ecc-945c-e7ffbbd5a8b0}</x14:id>
        </ext>
      </extLst>
    </cfRule>
    <cfRule type="cellIs" dxfId="1" priority="6" operator="greaterThan">
      <formula>0</formula>
    </cfRule>
    <cfRule type="cellIs" dxfId="2" priority="5" operator="lessThan">
      <formula>0</formula>
    </cfRule>
  </conditionalFormatting>
  <conditionalFormatting sqref="O68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{8bd1842e-6765-42ae-a3e0-7940c878a0ef}</x14:id>
        </ext>
      </extLst>
    </cfRule>
    <cfRule type="cellIs" dxfId="1" priority="36" operator="greaterThan">
      <formula>0</formula>
    </cfRule>
    <cfRule type="cellIs" dxfId="2" priority="35" operator="lessThan">
      <formula>0</formula>
    </cfRule>
  </conditionalFormatting>
  <conditionalFormatting sqref="B69">
    <cfRule type="cellIs" dxfId="1" priority="95" operator="greaterThan">
      <formula>0</formula>
    </cfRule>
    <cfRule type="cellIs" dxfId="2" priority="94" operator="lessThan">
      <formula>0</formula>
    </cfRule>
  </conditionalFormatting>
  <conditionalFormatting sqref="C76:N76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{fa50584f-8e2a-4b7d-ae43-4d4868eff7d6}</x14:id>
        </ext>
      </extLst>
    </cfRule>
    <cfRule type="cellIs" dxfId="1" priority="60" operator="greaterThan">
      <formula>0</formula>
    </cfRule>
    <cfRule type="cellIs" dxfId="2" priority="59" operator="lessThan">
      <formula>0</formula>
    </cfRule>
  </conditionalFormatting>
  <conditionalFormatting sqref="O76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{b92da82f-36b3-44d4-aee1-78931aebe406}</x14:id>
        </ext>
      </extLst>
    </cfRule>
    <cfRule type="cellIs" dxfId="1" priority="30" operator="greaterThan">
      <formula>0</formula>
    </cfRule>
    <cfRule type="cellIs" dxfId="2" priority="29" operator="lessThan">
      <formula>0</formula>
    </cfRule>
  </conditionalFormatting>
  <conditionalFormatting sqref="B77">
    <cfRule type="cellIs" dxfId="1" priority="101" operator="greaterThan">
      <formula>0</formula>
    </cfRule>
    <cfRule type="cellIs" dxfId="2" priority="100" operator="lessThan">
      <formula>0</formula>
    </cfRule>
  </conditionalFormatting>
  <conditionalFormatting sqref="C132:O132">
    <cfRule type="dataBar" priority="1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{10f03b71-5b7d-4bb1-8af3-e0d920219dd4}</x14:id>
        </ext>
      </extLst>
    </cfRule>
  </conditionalFormatting>
  <conditionalFormatting sqref="B43:B44">
    <cfRule type="cellIs" dxfId="2" priority="121" operator="greaterThan">
      <formula>0.68</formula>
    </cfRule>
    <cfRule type="cellIs" dxfId="1" priority="120" operator="lessThan">
      <formula>0.68</formula>
    </cfRule>
  </conditionalFormatting>
  <conditionalFormatting sqref="B51:B52">
    <cfRule type="cellIs" dxfId="2" priority="115" operator="greaterThan">
      <formula>0.68</formula>
    </cfRule>
    <cfRule type="cellIs" dxfId="1" priority="114" operator="lessThan">
      <formula>0.68</formula>
    </cfRule>
  </conditionalFormatting>
  <conditionalFormatting sqref="B59:B60">
    <cfRule type="cellIs" dxfId="2" priority="109" operator="greaterThan">
      <formula>0.68</formula>
    </cfRule>
    <cfRule type="cellIs" dxfId="1" priority="108" operator="lessThan">
      <formula>0.68</formula>
    </cfRule>
  </conditionalFormatting>
  <conditionalFormatting sqref="B67:B68">
    <cfRule type="cellIs" dxfId="2" priority="97" operator="greaterThan">
      <formula>0.68</formula>
    </cfRule>
    <cfRule type="cellIs" dxfId="1" priority="96" operator="lessThan">
      <formula>0.68</formula>
    </cfRule>
  </conditionalFormatting>
  <conditionalFormatting sqref="B75:B76">
    <cfRule type="cellIs" dxfId="2" priority="103" operator="greaterThan">
      <formula>0.68</formula>
    </cfRule>
    <cfRule type="cellIs" dxfId="1" priority="102" operator="lessThan">
      <formula>0.68</formula>
    </cfRule>
  </conditionalFormatting>
  <conditionalFormatting sqref="B26:O26 B27 D27:O27 C28:O28">
    <cfRule type="cellIs" dxfId="2" priority="133" operator="greaterThan">
      <formula>0.68</formula>
    </cfRule>
    <cfRule type="cellIs" dxfId="1" priority="132" operator="lessThan">
      <formula>0.68</formula>
    </cfRule>
  </conditionalFormatting>
  <conditionalFormatting sqref="C26:O26 D27:N27 C28:O28">
    <cfRule type="dataBar" priority="1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{6e8f3f5a-0882-4fb4-8c12-2056c4a2c449}</x14:id>
        </ext>
      </extLst>
    </cfRule>
  </conditionalFormatting>
  <conditionalFormatting sqref="C27:O27 B28">
    <cfRule type="cellIs" dxfId="1" priority="131" operator="greaterThan">
      <formula>0</formula>
    </cfRule>
    <cfRule type="cellIs" dxfId="2" priority="130" operator="lessThan">
      <formula>0</formula>
    </cfRule>
  </conditionalFormatting>
  <conditionalFormatting sqref="B35:O35 B36 D36:O36 C37:O37">
    <cfRule type="cellIs" dxfId="2" priority="127" operator="greaterThan">
      <formula>0.68</formula>
    </cfRule>
    <cfRule type="cellIs" dxfId="1" priority="126" operator="lessThan">
      <formula>0.68</formula>
    </cfRule>
  </conditionalFormatting>
  <conditionalFormatting sqref="C35:O35 D36:N36 C37:O37">
    <cfRule type="dataBar" priority="1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{fabd9b76-78bf-4952-852e-e1addfeee7ea}</x14:id>
        </ext>
      </extLst>
    </cfRule>
  </conditionalFormatting>
  <conditionalFormatting sqref="C36:O36 B37">
    <cfRule type="cellIs" dxfId="1" priority="125" operator="greaterThan">
      <formula>0</formula>
    </cfRule>
    <cfRule type="cellIs" dxfId="2" priority="124" operator="lessThan">
      <formula>0</formula>
    </cfRule>
  </conditionalFormatting>
  <conditionalFormatting sqref="C43:N43 D44:N44 C45:N45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{a7d26abd-6200-4fdb-84ba-174470d2f519}</x14:id>
        </ext>
      </extLst>
    </cfRule>
    <cfRule type="cellIs" dxfId="2" priority="26" operator="greaterThan">
      <formula>0.68</formula>
    </cfRule>
    <cfRule type="cellIs" dxfId="1" priority="25" operator="lessThan">
      <formula>0.68</formula>
    </cfRule>
  </conditionalFormatting>
  <conditionalFormatting sqref="O43 O4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{374dc5d8-438a-442e-80e4-25b2421ed0ea}</x14:id>
        </ext>
      </extLst>
    </cfRule>
  </conditionalFormatting>
  <conditionalFormatting sqref="O43 O44 O45">
    <cfRule type="cellIs" dxfId="2" priority="56" operator="greaterThan">
      <formula>0.68</formula>
    </cfRule>
    <cfRule type="cellIs" dxfId="1" priority="55" operator="lessThan">
      <formula>0.68</formula>
    </cfRule>
  </conditionalFormatting>
  <conditionalFormatting sqref="C51:N51 D52:N52 C53:N53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{f53c3f17-0e88-4052-aefc-4859cbd0f674}</x14:id>
        </ext>
      </extLst>
    </cfRule>
    <cfRule type="cellIs" dxfId="2" priority="20" operator="greaterThan">
      <formula>0.68</formula>
    </cfRule>
    <cfRule type="cellIs" dxfId="1" priority="19" operator="lessThan">
      <formula>0.68</formula>
    </cfRule>
  </conditionalFormatting>
  <conditionalFormatting sqref="O51 O53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{e843d7c6-c2fa-4440-b740-2b7932f00a00}</x14:id>
        </ext>
      </extLst>
    </cfRule>
  </conditionalFormatting>
  <conditionalFormatting sqref="O51 O52 O53">
    <cfRule type="cellIs" dxfId="2" priority="50" operator="greaterThan">
      <formula>0.68</formula>
    </cfRule>
    <cfRule type="cellIs" dxfId="1" priority="49" operator="lessThan">
      <formula>0.68</formula>
    </cfRule>
  </conditionalFormatting>
  <conditionalFormatting sqref="C59:N59 D60:N60 C61:N61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{c21e2b1c-b01c-41c4-b1da-65f2f286ce6c}</x14:id>
        </ext>
      </extLst>
    </cfRule>
    <cfRule type="cellIs" dxfId="2" priority="14" operator="greaterThan">
      <formula>0.68</formula>
    </cfRule>
    <cfRule type="cellIs" dxfId="1" priority="13" operator="lessThan">
      <formula>0.68</formula>
    </cfRule>
  </conditionalFormatting>
  <conditionalFormatting sqref="O59 O61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{941253e4-f0ed-4b6d-983f-5cace3e58429}</x14:id>
        </ext>
      </extLst>
    </cfRule>
  </conditionalFormatting>
  <conditionalFormatting sqref="O59 O60 O61">
    <cfRule type="cellIs" dxfId="2" priority="44" operator="greaterThan">
      <formula>0.68</formula>
    </cfRule>
    <cfRule type="cellIs" dxfId="1" priority="43" operator="lessThan">
      <formula>0.68</formula>
    </cfRule>
  </conditionalFormatting>
  <conditionalFormatting sqref="C67:N67 D68:N68 C69:N69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{5efcbe13-516c-4e0d-9a50-85f0134b8107}</x14:id>
        </ext>
      </extLst>
    </cfRule>
    <cfRule type="cellIs" dxfId="2" priority="8" operator="greaterThan">
      <formula>0.68</formula>
    </cfRule>
    <cfRule type="cellIs" dxfId="1" priority="7" operator="lessThan">
      <formula>0.68</formula>
    </cfRule>
  </conditionalFormatting>
  <conditionalFormatting sqref="O67 O69">
    <cfRule type="dataBar" priority="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{93bc68f4-b29e-44f8-8618-f5ee45dd230f}</x14:id>
        </ext>
      </extLst>
    </cfRule>
  </conditionalFormatting>
  <conditionalFormatting sqref="O67 O68 O69">
    <cfRule type="cellIs" dxfId="2" priority="38" operator="greaterThan">
      <formula>0.68</formula>
    </cfRule>
    <cfRule type="cellIs" dxfId="1" priority="37" operator="lessThan">
      <formula>0.68</formula>
    </cfRule>
  </conditionalFormatting>
  <conditionalFormatting sqref="C75:N75 D76:N76 C77:N77">
    <cfRule type="cellIs" dxfId="2" priority="62" operator="greaterThan">
      <formula>0.68</formula>
    </cfRule>
    <cfRule type="cellIs" dxfId="1" priority="61" operator="lessThan">
      <formula>0.68</formula>
    </cfRule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{2647211d-7189-4de4-b029-cfefd999b4bd}</x14:id>
        </ext>
      </extLst>
    </cfRule>
  </conditionalFormatting>
  <conditionalFormatting sqref="O75 O77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{a2ab54dd-a64a-496e-920d-8a26239ffa7a}</x14:id>
        </ext>
      </extLst>
    </cfRule>
  </conditionalFormatting>
  <conditionalFormatting sqref="O75 O76 O77">
    <cfRule type="cellIs" dxfId="2" priority="32" operator="greaterThan">
      <formula>0.68</formula>
    </cfRule>
    <cfRule type="cellIs" dxfId="1" priority="31" operator="lessThan">
      <formula>0.68</formula>
    </cfRule>
  </conditionalFormatting>
  <conditionalFormatting sqref="B83:O83 B84 D84:O84 C85:O85">
    <cfRule type="cellIs" dxfId="2" priority="180" operator="greaterThan">
      <formula>0.68</formula>
    </cfRule>
    <cfRule type="cellIs" dxfId="1" priority="179" operator="lessThan">
      <formula>0.68</formula>
    </cfRule>
  </conditionalFormatting>
  <conditionalFormatting sqref="C83:N83 D84:N84 C85:O85">
    <cfRule type="dataBar" priority="1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{d90a73b3-2459-47b8-b09b-981ae88f4091}</x14:id>
        </ext>
      </extLst>
    </cfRule>
  </conditionalFormatting>
  <conditionalFormatting sqref="C84:O84 B85 D85:O85">
    <cfRule type="cellIs" dxfId="1" priority="178" operator="greaterThan">
      <formula>0</formula>
    </cfRule>
    <cfRule type="cellIs" dxfId="2" priority="177" operator="lessThan">
      <formula>0</formula>
    </cfRule>
  </conditionalFormatting>
  <conditionalFormatting sqref="C84:O84 D85:N85">
    <cfRule type="dataBar" priority="1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{917aa60c-8061-4e98-925e-b24e0ec135f1}</x14:id>
        </ext>
      </extLst>
    </cfRule>
  </conditionalFormatting>
  <conditionalFormatting sqref="B91:O91 B92 D92:O92 C93:O93">
    <cfRule type="cellIs" dxfId="2" priority="174" operator="greaterThan">
      <formula>0.68</formula>
    </cfRule>
    <cfRule type="cellIs" dxfId="1" priority="173" operator="lessThan">
      <formula>0.68</formula>
    </cfRule>
  </conditionalFormatting>
  <conditionalFormatting sqref="C91:N91 D92:N92 C93:O93">
    <cfRule type="dataBar" priority="1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{917002c4-af57-4690-9927-c5a2432352c7}</x14:id>
        </ext>
      </extLst>
    </cfRule>
  </conditionalFormatting>
  <conditionalFormatting sqref="C92:O92 B93 D93:O93">
    <cfRule type="cellIs" dxfId="1" priority="172" operator="greaterThan">
      <formula>0</formula>
    </cfRule>
    <cfRule type="cellIs" dxfId="2" priority="171" operator="lessThan">
      <formula>0</formula>
    </cfRule>
  </conditionalFormatting>
  <conditionalFormatting sqref="C92:O92 D93:N93">
    <cfRule type="dataBar" priority="1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{8fcc5889-6eaa-4c4d-87da-55b54ab2df25}</x14:id>
        </ext>
      </extLst>
    </cfRule>
  </conditionalFormatting>
  <conditionalFormatting sqref="B99:O99 B100 D100:O100 C101:O101">
    <cfRule type="cellIs" dxfId="2" priority="168" operator="greaterThan">
      <formula>0.68</formula>
    </cfRule>
    <cfRule type="cellIs" dxfId="1" priority="167" operator="lessThan">
      <formula>0.68</formula>
    </cfRule>
  </conditionalFormatting>
  <conditionalFormatting sqref="C99:N99 D100:N100 C101:O101">
    <cfRule type="dataBar" priority="1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{71ad9c27-4f7d-4192-af46-ef2b78004183}</x14:id>
        </ext>
      </extLst>
    </cfRule>
  </conditionalFormatting>
  <conditionalFormatting sqref="C100:O100 B101 D101:O101">
    <cfRule type="cellIs" dxfId="1" priority="166" operator="greaterThan">
      <formula>0</formula>
    </cfRule>
    <cfRule type="cellIs" dxfId="2" priority="165" operator="lessThan">
      <formula>0</formula>
    </cfRule>
  </conditionalFormatting>
  <conditionalFormatting sqref="C100:O100 D101:N101">
    <cfRule type="dataBar" priority="1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{9d3c53b1-0334-4a84-9b83-1f6960e679f0}</x14:id>
        </ext>
      </extLst>
    </cfRule>
  </conditionalFormatting>
  <conditionalFormatting sqref="B107:O107 B108 D108:O108 C109:O109">
    <cfRule type="cellIs" dxfId="2" priority="162" operator="greaterThan">
      <formula>0.68</formula>
    </cfRule>
    <cfRule type="cellIs" dxfId="1" priority="161" operator="lessThan">
      <formula>0.68</formula>
    </cfRule>
  </conditionalFormatting>
  <conditionalFormatting sqref="C107:N107 D108:N108 C109:O109">
    <cfRule type="dataBar" priority="1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{3c4c1ab1-5ba6-4c32-a846-d16fc750c010}</x14:id>
        </ext>
      </extLst>
    </cfRule>
  </conditionalFormatting>
  <conditionalFormatting sqref="C108:O108 B109 D109:O109">
    <cfRule type="cellIs" dxfId="1" priority="160" operator="greaterThan">
      <formula>0</formula>
    </cfRule>
    <cfRule type="cellIs" dxfId="2" priority="159" operator="lessThan">
      <formula>0</formula>
    </cfRule>
  </conditionalFormatting>
  <conditionalFormatting sqref="C108:O108 D109:N109">
    <cfRule type="dataBar" priority="1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{108b2412-fd92-4673-9a32-aa76fb093f32}</x14:id>
        </ext>
      </extLst>
    </cfRule>
  </conditionalFormatting>
  <conditionalFormatting sqref="B115:O115 B116 D116:O116 C117:O117">
    <cfRule type="cellIs" dxfId="2" priority="156" operator="greaterThan">
      <formula>0.68</formula>
    </cfRule>
    <cfRule type="cellIs" dxfId="1" priority="155" operator="lessThan">
      <formula>0.68</formula>
    </cfRule>
  </conditionalFormatting>
  <conditionalFormatting sqref="C115:N115 D116:N116 C117:O117">
    <cfRule type="dataBar" priority="1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{ec1fa653-4925-4a1a-b9e8-6e2db966f925}</x14:id>
        </ext>
      </extLst>
    </cfRule>
  </conditionalFormatting>
  <conditionalFormatting sqref="C116:O116 B117 D117:O117">
    <cfRule type="cellIs" dxfId="1" priority="154" operator="greaterThan">
      <formula>0</formula>
    </cfRule>
    <cfRule type="cellIs" dxfId="2" priority="153" operator="lessThan">
      <formula>0</formula>
    </cfRule>
  </conditionalFormatting>
  <conditionalFormatting sqref="C116:O116 D117:N117">
    <cfRule type="dataBar" priority="1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{4638a353-201f-4f30-b760-3bab4f315afb}</x14:id>
        </ext>
      </extLst>
    </cfRule>
  </conditionalFormatting>
  <conditionalFormatting sqref="B123:O123 B124 D124:O124 C125:O125">
    <cfRule type="cellIs" dxfId="2" priority="150" operator="greaterThan">
      <formula>0.68</formula>
    </cfRule>
    <cfRule type="cellIs" dxfId="1" priority="149" operator="lessThan">
      <formula>0.68</formula>
    </cfRule>
  </conditionalFormatting>
  <conditionalFormatting sqref="C123:N123 D124:N124 C125:O125">
    <cfRule type="dataBar" priority="1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{badfdc39-a2cd-4972-9578-9f83d5ec36f4}</x14:id>
        </ext>
      </extLst>
    </cfRule>
  </conditionalFormatting>
  <conditionalFormatting sqref="C124:O124 B125 D125:O125">
    <cfRule type="cellIs" dxfId="1" priority="148" operator="greaterThan">
      <formula>0</formula>
    </cfRule>
    <cfRule type="cellIs" dxfId="2" priority="147" operator="lessThan">
      <formula>0</formula>
    </cfRule>
  </conditionalFormatting>
  <conditionalFormatting sqref="C124:O124 D125:N125">
    <cfRule type="dataBar" priority="1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{c874ea18-6939-4fe6-af69-f2fac0f44c53}</x14:id>
        </ext>
      </extLst>
    </cfRule>
  </conditionalFormatting>
  <conditionalFormatting sqref="B131:O131 B132 D132:O132 C133:O133">
    <cfRule type="cellIs" dxfId="2" priority="144" operator="greaterThan">
      <formula>0.68</formula>
    </cfRule>
    <cfRule type="cellIs" dxfId="1" priority="143" operator="lessThan">
      <formula>0.68</formula>
    </cfRule>
  </conditionalFormatting>
  <conditionalFormatting sqref="C131:N131 D132:N132 C133:O133">
    <cfRule type="dataBar" priority="1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{42b014e9-01ce-4835-9fdc-cba3990bcdf0}</x14:id>
        </ext>
      </extLst>
    </cfRule>
  </conditionalFormatting>
  <conditionalFormatting sqref="C132:O132 B133">
    <cfRule type="cellIs" dxfId="1" priority="142" operator="greaterThan">
      <formula>0</formula>
    </cfRule>
    <cfRule type="cellIs" dxfId="2" priority="141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f1cc48-045d-43d8-911d-da0189b8d53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27dc84f6-5264-4585-9322-c916ee6a821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e4cd20b2-5914-45be-89d0-9ebe5a7bccf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1d7a31d5-2187-4d56-9aae-4b4cd196030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9b0a9a7a-a9d7-41e5-83ae-135f858be01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af12d1fb-72e9-42b8-a6dc-aa2115b1596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5f2166c8-1a61-4cde-96cf-122c621822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2330c03d-92eb-4eb6-aaaa-ed153cf3527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C44:N44</xm:sqref>
        </x14:conditionalFormatting>
        <x14:conditionalFormatting xmlns:xm="http://schemas.microsoft.com/office/excel/2006/main">
          <x14:cfRule type="dataBar" id="{2b089e82-d75a-4b9b-863e-d67d565143c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7863629a-2b10-4a75-b9b9-5b00bb73b2b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C52:N52</xm:sqref>
        </x14:conditionalFormatting>
        <x14:conditionalFormatting xmlns:xm="http://schemas.microsoft.com/office/excel/2006/main">
          <x14:cfRule type="dataBar" id="{77b48896-8834-49ae-ac67-a03268417c8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O52</xm:sqref>
        </x14:conditionalFormatting>
        <x14:conditionalFormatting xmlns:xm="http://schemas.microsoft.com/office/excel/2006/main">
          <x14:cfRule type="dataBar" id="{82a1a8e8-a8a2-4e8d-a3eb-4a37deaa259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C60:N60</xm:sqref>
        </x14:conditionalFormatting>
        <x14:conditionalFormatting xmlns:xm="http://schemas.microsoft.com/office/excel/2006/main">
          <x14:cfRule type="dataBar" id="{3ea12327-1484-4ca7-a2a3-3b9830597a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O60</xm:sqref>
        </x14:conditionalFormatting>
        <x14:conditionalFormatting xmlns:xm="http://schemas.microsoft.com/office/excel/2006/main">
          <x14:cfRule type="dataBar" id="{d365cafd-d987-4ecc-945c-e7ffbbd5a8b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C68:N68</xm:sqref>
        </x14:conditionalFormatting>
        <x14:conditionalFormatting xmlns:xm="http://schemas.microsoft.com/office/excel/2006/main">
          <x14:cfRule type="dataBar" id="{8bd1842e-6765-42ae-a3e0-7940c878a0e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O68</xm:sqref>
        </x14:conditionalFormatting>
        <x14:conditionalFormatting xmlns:xm="http://schemas.microsoft.com/office/excel/2006/main">
          <x14:cfRule type="dataBar" id="{fa50584f-8e2a-4b7d-ae43-4d4868eff7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C76:N76</xm:sqref>
        </x14:conditionalFormatting>
        <x14:conditionalFormatting xmlns:xm="http://schemas.microsoft.com/office/excel/2006/main">
          <x14:cfRule type="dataBar" id="{b92da82f-36b3-44d4-aee1-78931aebe40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O76</xm:sqref>
        </x14:conditionalFormatting>
        <x14:conditionalFormatting xmlns:xm="http://schemas.microsoft.com/office/excel/2006/main">
          <x14:cfRule type="dataBar" id="{10f03b71-5b7d-4bb1-8af3-e0d920219dd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6e8f3f5a-0882-4fb4-8c12-2056c4a2c44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fabd9b76-78bf-4952-852e-e1addfeee7e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a7d26abd-6200-4fdb-84ba-174470d2f51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C45:N45</xm:sqref>
        </x14:conditionalFormatting>
        <x14:conditionalFormatting xmlns:xm="http://schemas.microsoft.com/office/excel/2006/main">
          <x14:cfRule type="dataBar" id="{374dc5d8-438a-442e-80e4-25b2421ed0e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O43 O45</xm:sqref>
        </x14:conditionalFormatting>
        <x14:conditionalFormatting xmlns:xm="http://schemas.microsoft.com/office/excel/2006/main">
          <x14:cfRule type="dataBar" id="{f53c3f17-0e88-4052-aefc-4859cbd0f67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C53:N53</xm:sqref>
        </x14:conditionalFormatting>
        <x14:conditionalFormatting xmlns:xm="http://schemas.microsoft.com/office/excel/2006/main">
          <x14:cfRule type="dataBar" id="{e843d7c6-c2fa-4440-b740-2b7932f00a0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O51 O53</xm:sqref>
        </x14:conditionalFormatting>
        <x14:conditionalFormatting xmlns:xm="http://schemas.microsoft.com/office/excel/2006/main">
          <x14:cfRule type="dataBar" id="{c21e2b1c-b01c-41c4-b1da-65f2f286ce6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C61:N61</xm:sqref>
        </x14:conditionalFormatting>
        <x14:conditionalFormatting xmlns:xm="http://schemas.microsoft.com/office/excel/2006/main">
          <x14:cfRule type="dataBar" id="{941253e4-f0ed-4b6d-983f-5cace3e5842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O59 O61</xm:sqref>
        </x14:conditionalFormatting>
        <x14:conditionalFormatting xmlns:xm="http://schemas.microsoft.com/office/excel/2006/main">
          <x14:cfRule type="dataBar" id="{5efcbe13-516c-4e0d-9a50-85f0134b810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C69:N69</xm:sqref>
        </x14:conditionalFormatting>
        <x14:conditionalFormatting xmlns:xm="http://schemas.microsoft.com/office/excel/2006/main">
          <x14:cfRule type="dataBar" id="{93bc68f4-b29e-44f8-8618-f5ee45dd230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O67 O69</xm:sqref>
        </x14:conditionalFormatting>
        <x14:conditionalFormatting xmlns:xm="http://schemas.microsoft.com/office/excel/2006/main">
          <x14:cfRule type="dataBar" id="{2647211d-7189-4de4-b029-cfefd999b4b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C77:N77</xm:sqref>
        </x14:conditionalFormatting>
        <x14:conditionalFormatting xmlns:xm="http://schemas.microsoft.com/office/excel/2006/main">
          <x14:cfRule type="dataBar" id="{a2ab54dd-a64a-496e-920d-8a26239ffa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O75 O77</xm:sqref>
        </x14:conditionalFormatting>
        <x14:conditionalFormatting xmlns:xm="http://schemas.microsoft.com/office/excel/2006/main">
          <x14:cfRule type="dataBar" id="{d90a73b3-2459-47b8-b09b-981ae88f409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917aa60c-8061-4e98-925e-b24e0ec135f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917002c4-af57-4690-9927-c5a2432352c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8fcc5889-6eaa-4c4d-87da-55b54ab2df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71ad9c27-4f7d-4192-af46-ef2b780041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9d3c53b1-0334-4a84-9b83-1f6960e679f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3c4c1ab1-5ba6-4c32-a846-d16fc750c01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108b2412-fd92-4673-9a32-aa76fb093f3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ec1fa653-4925-4a1a-b9e8-6e2db966f9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4638a353-201f-4f30-b760-3bab4f315af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badfdc39-a2cd-4972-9578-9f83d5ec36f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c874ea18-6939-4fe6-af69-f2fac0f44c5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42b014e9-01ce-4835-9fdc-cba3990bcdf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P24" sqref="P24"/>
    </sheetView>
  </sheetViews>
  <sheetFormatPr defaultColWidth="8.88888888888889" defaultRowHeight="15.6"/>
  <cols>
    <col min="1" max="1" width="14.1111111111111" style="37" customWidth="1"/>
    <col min="2" max="2" width="20.8888888888889" style="37" customWidth="1"/>
    <col min="3" max="14" width="15.1111111111111" style="37" customWidth="1"/>
    <col min="15" max="15" width="17.4444444444444" style="37" customWidth="1"/>
    <col min="16" max="16" width="15.6666666666667" style="37"/>
    <col min="17" max="16384" width="8.88888888888889" style="37"/>
  </cols>
  <sheetData>
    <row r="1" s="37" customFormat="1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s="37" customFormat="1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s="37" customFormat="1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s="37" customFormat="1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1812058.47</v>
      </c>
      <c r="D4" s="4"/>
      <c r="E4" s="4"/>
      <c r="F4" s="3">
        <f>(F7+G7+H7)</f>
        <v>1625199.49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s="37" customFormat="1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1.31183198886128</v>
      </c>
      <c r="D5" s="5"/>
      <c r="E5" s="5"/>
      <c r="F5" s="6">
        <f>(F7+G7+H7)/(F6+G6+H6)</f>
        <v>1.00699686082307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s="37" customFormat="1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'[2]2026年度男装数据汇总分析--俄罗斯'!C6</f>
        <v>445623.087260062</v>
      </c>
      <c r="D6" s="9">
        <f>'[2]2026年度男装数据汇总分析--俄罗斯'!D6</f>
        <v>485784.484418571</v>
      </c>
      <c r="E6" s="9">
        <f>'[2]2026年度男装数据汇总分析--俄罗斯'!E6</f>
        <v>449911.442788257</v>
      </c>
      <c r="F6" s="9">
        <f>'[2]2026年度男装数据汇总分析--俄罗斯'!F6</f>
        <v>464012.748298979</v>
      </c>
      <c r="G6" s="9">
        <f>'[2]2026年度男装数据汇总分析--俄罗斯'!G6</f>
        <v>543194.4</v>
      </c>
      <c r="H6" s="9">
        <f>'[2]2026年度男装数据汇总分析--俄罗斯'!H6</f>
        <v>606700.0576</v>
      </c>
      <c r="I6" s="9">
        <f>'[2]2026年度男装数据汇总分析--俄罗斯'!I6</f>
        <v>811749.7808</v>
      </c>
      <c r="J6" s="9">
        <f>'[2]2026年度男装数据汇总分析--俄罗斯'!J6</f>
        <v>972333.6</v>
      </c>
      <c r="K6" s="9">
        <f>'[2]2026年度男装数据汇总分析--俄罗斯'!K6</f>
        <v>1119372.8</v>
      </c>
      <c r="L6" s="9">
        <f>'[2]2026年度男装数据汇总分析--俄罗斯'!L6</f>
        <v>1129094.4</v>
      </c>
      <c r="M6" s="9">
        <f>'[2]2026年度男装数据汇总分析--俄罗斯'!M6</f>
        <v>1025732.96</v>
      </c>
      <c r="N6" s="9">
        <f>'[2]2026年度男装数据汇总分析--俄罗斯'!N6</f>
        <v>701760.64</v>
      </c>
      <c r="O6" s="38">
        <f>'[2]2026年度男装数据汇总分析--俄罗斯'!O6</f>
        <v>8755270.40116587</v>
      </c>
    </row>
    <row r="7" s="37" customFormat="1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'[2]2026年度男装数据汇总分析--俄罗斯'!C7</f>
        <v>573037.44</v>
      </c>
      <c r="D7" s="12">
        <f>'[2]2026年度男装数据汇总分析--俄罗斯'!D7</f>
        <v>647037.05</v>
      </c>
      <c r="E7" s="12">
        <f>'[2]2026年度男装数据汇总分析--俄罗斯'!E7</f>
        <v>591983.98</v>
      </c>
      <c r="F7" s="12">
        <f>'[2]2026年度男装数据汇总分析--俄罗斯'!F7</f>
        <v>706739.4</v>
      </c>
      <c r="G7" s="12">
        <f>'[2]2026年度男装数据汇总分析--俄罗斯'!G7</f>
        <v>593421.46</v>
      </c>
      <c r="H7" s="12">
        <f>'[2]2026年度男装数据汇总分析--俄罗斯'!H7</f>
        <v>325038.63</v>
      </c>
      <c r="I7" s="12">
        <f>'[2]2026年度男装数据汇总分析--俄罗斯'!I7</f>
        <v>0</v>
      </c>
      <c r="J7" s="12">
        <f>'[2]2026年度男装数据汇总分析--俄罗斯'!J7</f>
        <v>0</v>
      </c>
      <c r="K7" s="12">
        <f>'[2]2026年度男装数据汇总分析--俄罗斯'!K7</f>
        <v>0</v>
      </c>
      <c r="L7" s="12">
        <f>'[2]2026年度男装数据汇总分析--俄罗斯'!L7</f>
        <v>0</v>
      </c>
      <c r="M7" s="12">
        <f>'[2]2026年度男装数据汇总分析--俄罗斯'!M7</f>
        <v>0</v>
      </c>
      <c r="N7" s="12">
        <f>'[2]2026年度男装数据汇总分析--俄罗斯'!N7</f>
        <v>0</v>
      </c>
      <c r="O7" s="12">
        <f>'[2]2026年度男装数据汇总分析--俄罗斯'!O7</f>
        <v>3437257.96</v>
      </c>
    </row>
    <row r="8" s="37" customFormat="1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13">
        <f>'[2]2026年度男装数据汇总分析--俄罗斯'!O8</f>
        <v>0.392593009981998</v>
      </c>
    </row>
    <row r="9" s="37" customFormat="1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'[2]2026年度男装数据汇总分析--俄罗斯'!O9</f>
        <v>0</v>
      </c>
    </row>
    <row r="10" s="37" customFormat="1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'[2]2026年度男装数据汇总分析--俄罗斯'!C10</f>
        <v>29092</v>
      </c>
      <c r="D10" s="1">
        <f>'[2]2026年度男装数据汇总分析--俄罗斯'!D10</f>
        <v>31620</v>
      </c>
      <c r="E10" s="1">
        <f>'[2]2026年度男装数据汇总分析--俄罗斯'!E10</f>
        <v>29700</v>
      </c>
      <c r="F10" s="1">
        <f>'[2]2026年度男装数据汇总分析--俄罗斯'!F10</f>
        <v>31930</v>
      </c>
      <c r="G10" s="1">
        <f>'[2]2026年度男装数据汇总分析--俄罗斯'!G10</f>
        <v>36000</v>
      </c>
      <c r="H10" s="1">
        <f>'[2]2026年度男装数据汇总分析--俄罗斯'!H10</f>
        <v>40207</v>
      </c>
      <c r="I10" s="1">
        <f>'[2]2026年度男装数据汇总分析--俄罗斯'!I10</f>
        <v>53723</v>
      </c>
      <c r="J10" s="1">
        <f>'[2]2026年度男装数据汇总分析--俄罗斯'!J10</f>
        <v>64500</v>
      </c>
      <c r="K10" s="1">
        <f>'[2]2026年度男装数据汇总分析--俄罗斯'!K10</f>
        <v>74400</v>
      </c>
      <c r="L10" s="1">
        <f>'[2]2026年度男装数据汇总分析--俄罗斯'!L10</f>
        <v>75000</v>
      </c>
      <c r="M10" s="1">
        <f>'[2]2026年度男装数据汇总分析--俄罗斯'!M10</f>
        <v>68200</v>
      </c>
      <c r="N10" s="1">
        <f>'[2]2026年度男装数据汇总分析--俄罗斯'!N10</f>
        <v>46500</v>
      </c>
      <c r="O10" s="30">
        <f>'[2]2026年度男装数据汇总分析--俄罗斯'!O10</f>
        <v>580872</v>
      </c>
    </row>
    <row r="11" s="37" customFormat="1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'[2]2026年度男装数据汇总分析--俄罗斯'!C11</f>
        <v>29860</v>
      </c>
      <c r="D11" s="11">
        <f>'[2]2026年度男装数据汇总分析--俄罗斯'!D11</f>
        <v>32519</v>
      </c>
      <c r="E11" s="11">
        <f>'[2]2026年度男装数据汇总分析--俄罗斯'!E11</f>
        <v>32812</v>
      </c>
      <c r="F11" s="11">
        <f>'[2]2026年度男装数据汇总分析--俄罗斯'!F11</f>
        <v>33812</v>
      </c>
      <c r="G11" s="11">
        <f>'[2]2026年度男装数据汇总分析--俄罗斯'!G11</f>
        <v>26753</v>
      </c>
      <c r="H11" s="11">
        <f>'[2]2026年度男装数据汇总分析--俄罗斯'!H11</f>
        <v>15887</v>
      </c>
      <c r="I11" s="11">
        <f>'[2]2026年度男装数据汇总分析--俄罗斯'!I11</f>
        <v>0</v>
      </c>
      <c r="J11" s="11">
        <f>'[2]2026年度男装数据汇总分析--俄罗斯'!J11</f>
        <v>0</v>
      </c>
      <c r="K11" s="11">
        <f>'[2]2026年度男装数据汇总分析--俄罗斯'!K11</f>
        <v>0</v>
      </c>
      <c r="L11" s="11">
        <f>'[2]2026年度男装数据汇总分析--俄罗斯'!L11</f>
        <v>0</v>
      </c>
      <c r="M11" s="11">
        <f>'[2]2026年度男装数据汇总分析--俄罗斯'!M11</f>
        <v>0</v>
      </c>
      <c r="N11" s="11">
        <f>'[2]2026年度男装数据汇总分析--俄罗斯'!N11</f>
        <v>0</v>
      </c>
      <c r="O11" s="11">
        <f>'[2]2026年度男装数据汇总分析--俄罗斯'!O11</f>
        <v>171643</v>
      </c>
    </row>
    <row r="12" s="37" customFormat="1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13">
        <f>'[2]2026年度男装数据汇总分析--俄罗斯'!O12</f>
        <v>0.295491950033742</v>
      </c>
    </row>
    <row r="13" s="37" customFormat="1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'[2]2026年度男装数据汇总分析--俄罗斯'!O13</f>
        <v>0</v>
      </c>
    </row>
    <row r="14" s="37" customFormat="1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'[2]2026年度男装数据汇总分析--俄罗斯'!C14</f>
        <v>9018.52</v>
      </c>
      <c r="D14" s="17">
        <f>'[2]2026年度男装数据汇总分析--俄罗斯'!D14</f>
        <v>9802.2</v>
      </c>
      <c r="E14" s="17">
        <f>'[2]2026年度男装数据汇总分析--俄罗斯'!E14</f>
        <v>9207</v>
      </c>
      <c r="F14" s="17">
        <f>'[2]2026年度男装数据汇总分析--俄罗斯'!F14</f>
        <v>9898.3</v>
      </c>
      <c r="G14" s="17">
        <f>'[2]2026年度男装数据汇总分析--俄罗斯'!G14</f>
        <v>11160</v>
      </c>
      <c r="H14" s="17">
        <f>'[2]2026年度男装数据汇总分析--俄罗斯'!H14</f>
        <v>12464.17</v>
      </c>
      <c r="I14" s="17">
        <f>'[2]2026年度男装数据汇总分析--俄罗斯'!I14</f>
        <v>16654.13</v>
      </c>
      <c r="J14" s="17">
        <f>'[2]2026年度男装数据汇总分析--俄罗斯'!J14</f>
        <v>19995</v>
      </c>
      <c r="K14" s="17">
        <f>'[2]2026年度男装数据汇总分析--俄罗斯'!K14</f>
        <v>23064</v>
      </c>
      <c r="L14" s="17">
        <f>'[2]2026年度男装数据汇总分析--俄罗斯'!L14</f>
        <v>23250</v>
      </c>
      <c r="M14" s="17">
        <f>'[2]2026年度男装数据汇总分析--俄罗斯'!M14</f>
        <v>21142</v>
      </c>
      <c r="N14" s="17">
        <f>'[2]2026年度男装数据汇总分析--俄罗斯'!N14</f>
        <v>14415</v>
      </c>
      <c r="O14" s="36">
        <f>'[2]2026年度男装数据汇总分析--俄罗斯'!O14</f>
        <v>180070.32</v>
      </c>
    </row>
    <row r="15" s="37" customFormat="1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'[2]2026年度男装数据汇总分析--俄罗斯'!C15</f>
        <v>10171</v>
      </c>
      <c r="D15" s="11">
        <f>'[2]2026年度男装数据汇总分析--俄罗斯'!D15</f>
        <v>11583</v>
      </c>
      <c r="E15" s="11">
        <f>'[2]2026年度男装数据汇总分析--俄罗斯'!E15</f>
        <v>12133</v>
      </c>
      <c r="F15" s="11">
        <f>'[2]2026年度男装数据汇总分析--俄罗斯'!F15</f>
        <v>12177</v>
      </c>
      <c r="G15" s="11">
        <f>'[2]2026年度男装数据汇总分析--俄罗斯'!G15</f>
        <v>9282</v>
      </c>
      <c r="H15" s="11">
        <f>'[2]2026年度男装数据汇总分析--俄罗斯'!H15</f>
        <v>5500</v>
      </c>
      <c r="I15" s="11">
        <f>'[2]2026年度男装数据汇总分析--俄罗斯'!I15</f>
        <v>0</v>
      </c>
      <c r="J15" s="11">
        <f>'[2]2026年度男装数据汇总分析--俄罗斯'!J15</f>
        <v>0</v>
      </c>
      <c r="K15" s="11">
        <f>'[2]2026年度男装数据汇总分析--俄罗斯'!K15</f>
        <v>0</v>
      </c>
      <c r="L15" s="11">
        <f>'[2]2026年度男装数据汇总分析--俄罗斯'!L15</f>
        <v>0</v>
      </c>
      <c r="M15" s="11">
        <f>'[2]2026年度男装数据汇总分析--俄罗斯'!M15</f>
        <v>0</v>
      </c>
      <c r="N15" s="11">
        <f>'[2]2026年度男装数据汇总分析--俄罗斯'!N15</f>
        <v>0</v>
      </c>
      <c r="O15" s="11">
        <f>'[2]2026年度男装数据汇总分析--俄罗斯'!O15</f>
        <v>60846</v>
      </c>
    </row>
    <row r="16" s="37" customFormat="1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13">
        <f>'[2]2026年度男装数据汇总分析--俄罗斯'!O16</f>
        <v>0.337901326548428</v>
      </c>
    </row>
    <row r="17" s="37" customFormat="1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'[2]2026年度男装数据汇总分析--俄罗斯'!O17</f>
        <v>0</v>
      </c>
    </row>
    <row r="18" s="37" customFormat="1" spans="1:15">
      <c r="A18" s="10">
        <f>'[2]2026年度男装数据汇总分析--俄罗斯'!A18</f>
        <v>0</v>
      </c>
      <c r="B18" s="1" t="str">
        <f>'[2]2026年度男装数据汇总分析--俄罗斯'!B18</f>
        <v>GMV目标</v>
      </c>
      <c r="C18" s="21">
        <f>'[2]2026年度男装数据汇总分析--俄罗斯'!C18</f>
        <v>10045504</v>
      </c>
      <c r="D18" s="21">
        <f>'[2]2026年度男装数据汇总分析--俄罗斯'!D18</f>
        <v>10983920</v>
      </c>
      <c r="E18" s="21">
        <f>'[2]2026年度男装数据汇总分析--俄罗斯'!E18</f>
        <v>10324800</v>
      </c>
      <c r="F18" s="21">
        <f>'[2]2026年度男装数据汇总分析--俄罗斯'!F18</f>
        <v>11127760</v>
      </c>
      <c r="G18" s="21">
        <f>'[2]2026年度男装数据汇总分析--俄罗斯'!G18</f>
        <v>12516000</v>
      </c>
      <c r="H18" s="21">
        <f>'[2]2026年度男装数据汇总分析--俄罗斯'!H18</f>
        <v>13979264</v>
      </c>
      <c r="I18" s="21">
        <f>'[2]2026年度男装数据汇总分析--俄罗斯'!I18</f>
        <v>18703912</v>
      </c>
      <c r="J18" s="21">
        <f>'[2]2026年度男装数据汇总分析--俄罗斯'!J18</f>
        <v>22404000</v>
      </c>
      <c r="K18" s="21">
        <f>'[2]2026年度男装数据汇总分析--俄罗斯'!K18</f>
        <v>25792000</v>
      </c>
      <c r="L18" s="21">
        <f>'[2]2026年度男装数据汇总分析--俄罗斯'!L18</f>
        <v>26016000</v>
      </c>
      <c r="M18" s="21">
        <f>'[2]2026年度男装数据汇总分析--俄罗斯'!M18</f>
        <v>23634400</v>
      </c>
      <c r="N18" s="21">
        <f>'[2]2026年度男装数据汇总分析--俄罗斯'!N18</f>
        <v>16169600</v>
      </c>
      <c r="O18" s="28">
        <f>'[2]2026年度男装数据汇总分析--俄罗斯'!O18</f>
        <v>201697160</v>
      </c>
    </row>
    <row r="19" s="37" customFormat="1" spans="1:15">
      <c r="A19" s="10">
        <f>'[2]2026年度男装数据汇总分析--俄罗斯'!A19</f>
        <v>0</v>
      </c>
      <c r="B19" s="11" t="str">
        <f>'[2]2026年度男装数据汇总分析--俄罗斯'!B19</f>
        <v>GMV完成</v>
      </c>
      <c r="C19" s="22">
        <f>'[2]2026年度男装数据汇总分析--俄罗斯'!C19</f>
        <v>10528129.953</v>
      </c>
      <c r="D19" s="22">
        <f>'[2]2026年度男装数据汇总分析--俄罗斯'!D19</f>
        <v>12913983.5844</v>
      </c>
      <c r="E19" s="22">
        <f>'[2]2026年度男装数据汇总分析--俄罗斯'!E19</f>
        <v>12268567.6984</v>
      </c>
      <c r="F19" s="22">
        <f>'[2]2026年度男装数据汇总分析--俄罗斯'!F19</f>
        <v>13661971.3112</v>
      </c>
      <c r="G19" s="22">
        <f>'[2]2026年度男装数据汇总分析--俄罗斯'!G19</f>
        <v>11545368.1632</v>
      </c>
      <c r="H19" s="22">
        <f>'[2]2026年度男装数据汇总分析--俄罗斯'!H19</f>
        <v>6659288.4732</v>
      </c>
      <c r="I19" s="22">
        <f>'[2]2026年度男装数据汇总分析--俄罗斯'!I19</f>
        <v>0</v>
      </c>
      <c r="J19" s="22">
        <f>'[2]2026年度男装数据汇总分析--俄罗斯'!J19</f>
        <v>0</v>
      </c>
      <c r="K19" s="22">
        <f>'[2]2026年度男装数据汇总分析--俄罗斯'!K19</f>
        <v>0</v>
      </c>
      <c r="L19" s="22">
        <f>'[2]2026年度男装数据汇总分析--俄罗斯'!L19</f>
        <v>0</v>
      </c>
      <c r="M19" s="22">
        <f>'[2]2026年度男装数据汇总分析--俄罗斯'!M19</f>
        <v>0</v>
      </c>
      <c r="N19" s="22">
        <f>'[2]2026年度男装数据汇总分析--俄罗斯'!N19</f>
        <v>0</v>
      </c>
      <c r="O19" s="12">
        <f>'[2]2026年度男装数据汇总分析--俄罗斯'!O19</f>
        <v>67577309.1834</v>
      </c>
    </row>
    <row r="20" s="37" customFormat="1" spans="1:15">
      <c r="A20" s="10">
        <f>'[2]2026年度男装数据汇总分析--俄罗斯'!A20</f>
        <v>0</v>
      </c>
      <c r="B20" s="1" t="str">
        <f>'[2]2026年度男装数据汇总分析--俄罗斯'!B20</f>
        <v>GMV完成进度</v>
      </c>
      <c r="C20" s="13">
        <f>'[2]2026年度男装数据汇总分析--俄罗斯'!C20</f>
        <v>1.04804397599165</v>
      </c>
      <c r="D20" s="13">
        <f>'[2]2026年度男装数据汇总分析--俄罗斯'!D20</f>
        <v>1.17571719244131</v>
      </c>
      <c r="E20" s="13">
        <f>'[2]2026年度男装数据汇总分析--俄罗斯'!E20</f>
        <v>1.18826201944832</v>
      </c>
      <c r="F20" s="13">
        <f>'[2]2026年度男装数据汇总分析--俄罗斯'!F20</f>
        <v>1.22773777572485</v>
      </c>
      <c r="G20" s="13">
        <f>'[2]2026年度男装数据汇总分析--俄罗斯'!G20</f>
        <v>0.922448718696069</v>
      </c>
      <c r="H20" s="13">
        <f>'[2]2026年度男装数据汇总分析--俄罗斯'!H20</f>
        <v>0.476369032961964</v>
      </c>
      <c r="I20" s="13">
        <f>'[2]2026年度男装数据汇总分析--俄罗斯'!I20</f>
        <v>0</v>
      </c>
      <c r="J20" s="13">
        <f>'[2]2026年度男装数据汇总分析--俄罗斯'!J20</f>
        <v>0</v>
      </c>
      <c r="K20" s="13">
        <f>'[2]2026年度男装数据汇总分析--俄罗斯'!K20</f>
        <v>0</v>
      </c>
      <c r="L20" s="13">
        <f>'[2]2026年度男装数据汇总分析--俄罗斯'!L20</f>
        <v>0</v>
      </c>
      <c r="M20" s="13">
        <f>'[2]2026年度男装数据汇总分析--俄罗斯'!M20</f>
        <v>0</v>
      </c>
      <c r="N20" s="13">
        <f>'[2]2026年度男装数据汇总分析--俄罗斯'!N20</f>
        <v>0</v>
      </c>
      <c r="O20" s="13">
        <f>'[2]2026年度男装数据汇总分析--俄罗斯'!O20</f>
        <v>0.335043434341862</v>
      </c>
    </row>
    <row r="21" s="37" customFormat="1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'[2]2026年度男装数据汇总分析--俄罗斯'!O21</f>
        <v>0</v>
      </c>
    </row>
    <row r="22" s="37" customFormat="1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>
        <f>'[2]2026年度男装数据汇总分析--俄罗斯'!C22</f>
        <v>3214561.28</v>
      </c>
      <c r="D22" s="21">
        <f>'[2]2026年度男装数据汇总分析--俄罗斯'!D22</f>
        <v>3514854.4</v>
      </c>
      <c r="E22" s="21">
        <f>'[2]2026年度男装数据汇总分析--俄罗斯'!E22</f>
        <v>3303936</v>
      </c>
      <c r="F22" s="21">
        <f>'[2]2026年度男装数据汇总分析--俄罗斯'!F22</f>
        <v>3560883.2</v>
      </c>
      <c r="G22" s="21">
        <f>'[2]2026年度男装数据汇总分析--俄罗斯'!G22</f>
        <v>4005120</v>
      </c>
      <c r="H22" s="21">
        <f>'[2]2026年度男装数据汇总分析--俄罗斯'!H22</f>
        <v>4473364.48</v>
      </c>
      <c r="I22" s="21">
        <f>'[2]2026年度男装数据汇总分析--俄罗斯'!I22</f>
        <v>5985251.84</v>
      </c>
      <c r="J22" s="21">
        <f>'[2]2026年度男装数据汇总分析--俄罗斯'!J22</f>
        <v>7169280</v>
      </c>
      <c r="K22" s="21">
        <f>'[2]2026年度男装数据汇总分析--俄罗斯'!K22</f>
        <v>8253440</v>
      </c>
      <c r="L22" s="21">
        <f>'[2]2026年度男装数据汇总分析--俄罗斯'!L22</f>
        <v>8325120</v>
      </c>
      <c r="M22" s="21">
        <f>'[2]2026年度男装数据汇总分析--俄罗斯'!M22</f>
        <v>7563008</v>
      </c>
      <c r="N22" s="21">
        <f>'[2]2026年度男装数据汇总分析--俄罗斯'!N22</f>
        <v>5174272</v>
      </c>
      <c r="O22" s="28">
        <f>'[2]2026年度男装数据汇总分析--俄罗斯'!O22</f>
        <v>64543091.2</v>
      </c>
    </row>
    <row r="23" s="37" customFormat="1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>
        <f>'[2]2026年度男装数据汇总分析--俄罗斯'!C23</f>
        <v>3945601.24</v>
      </c>
      <c r="D23" s="22">
        <f>'[2]2026年度男装数据汇总分析--俄罗斯'!D23</f>
        <v>4001011.09</v>
      </c>
      <c r="E23" s="22">
        <f>'[2]2026年度男装数据汇总分析--俄罗斯'!E23</f>
        <v>4113119.79</v>
      </c>
      <c r="F23" s="22">
        <f>'[2]2026年度男装数据汇总分析--俄罗斯'!F23</f>
        <v>4382797.99</v>
      </c>
      <c r="G23" s="22">
        <f>'[2]2026年度男装数据汇总分析--俄罗斯'!G23</f>
        <v>3503371.5464</v>
      </c>
      <c r="H23" s="22">
        <f>'[2]2026年度男装数据汇总分析--俄罗斯'!H23</f>
        <v>1930982.2827</v>
      </c>
      <c r="I23" s="22">
        <f>'[2]2026年度男装数据汇总分析--俄罗斯'!I23</f>
        <v>0</v>
      </c>
      <c r="J23" s="22">
        <f>'[2]2026年度男装数据汇总分析--俄罗斯'!J23</f>
        <v>0</v>
      </c>
      <c r="K23" s="22">
        <f>'[2]2026年度男装数据汇总分析--俄罗斯'!K23</f>
        <v>0</v>
      </c>
      <c r="L23" s="22">
        <f>'[2]2026年度男装数据汇总分析--俄罗斯'!L23</f>
        <v>0</v>
      </c>
      <c r="M23" s="22">
        <f>'[2]2026年度男装数据汇总分析--俄罗斯'!M23</f>
        <v>0</v>
      </c>
      <c r="N23" s="22">
        <f>'[2]2026年度男装数据汇总分析--俄罗斯'!N23</f>
        <v>0</v>
      </c>
      <c r="O23" s="12">
        <f>'[2]2026年度男装数据汇总分析--俄罗斯'!O23</f>
        <v>21876883.9391</v>
      </c>
    </row>
    <row r="24" s="37" customFormat="1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>
        <f>'[2]2026年度男装数据汇总分析--俄罗斯'!C24</f>
        <v>1.22741515756701</v>
      </c>
      <c r="D24" s="13">
        <f>'[2]2026年度男装数据汇总分析--俄罗斯'!D24</f>
        <v>1.13831488723971</v>
      </c>
      <c r="E24" s="13">
        <f>'[2]2026年度男装数据汇总分析--俄罗斯'!E24</f>
        <v>1.24491509218096</v>
      </c>
      <c r="F24" s="13">
        <f>'[2]2026年度男装数据汇总分析--俄罗斯'!F24</f>
        <v>1.23081767747956</v>
      </c>
      <c r="G24" s="13">
        <f>'[2]2026年度男装数据汇总分析--俄罗斯'!G24</f>
        <v>0.874723240851709</v>
      </c>
      <c r="H24" s="13">
        <f>'[2]2026年度男装数据汇总分析--俄罗斯'!H24</f>
        <v>0.431662184320827</v>
      </c>
      <c r="I24" s="13">
        <f>'[2]2026年度男装数据汇总分析--俄罗斯'!I24</f>
        <v>0</v>
      </c>
      <c r="J24" s="13">
        <f>'[2]2026年度男装数据汇总分析--俄罗斯'!J24</f>
        <v>0</v>
      </c>
      <c r="K24" s="13">
        <f>'[2]2026年度男装数据汇总分析--俄罗斯'!K24</f>
        <v>0</v>
      </c>
      <c r="L24" s="13">
        <f>'[2]2026年度男装数据汇总分析--俄罗斯'!L24</f>
        <v>0</v>
      </c>
      <c r="M24" s="13">
        <f>'[2]2026年度男装数据汇总分析--俄罗斯'!M24</f>
        <v>0</v>
      </c>
      <c r="N24" s="13">
        <f>'[2]2026年度男装数据汇总分析--俄罗斯'!N24</f>
        <v>0</v>
      </c>
      <c r="O24" s="13">
        <f>'[2]2026年度男装数据汇总分析--俄罗斯'!O24</f>
        <v>0.33895004922076</v>
      </c>
    </row>
    <row r="25" s="37" customFormat="1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'[2]2026年度男装数据汇总分析--俄罗斯'!O25</f>
        <v>0</v>
      </c>
    </row>
    <row r="26" s="37" customFormat="1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>'[2]2026年度男装数据汇总分析--俄罗斯'!C26</f>
        <v>0.374767528289836</v>
      </c>
      <c r="D26" s="13">
        <f>'[2]2026年度男装数据汇总分析--俄罗斯'!D26</f>
        <v>0.309820053885866</v>
      </c>
      <c r="E26" s="13">
        <f>'[2]2026年度男装数据汇总分析--俄罗斯'!E26</f>
        <v>0.335256721983644</v>
      </c>
      <c r="F26" s="13">
        <f>'[2]2026年度男装数据汇总分析--俄罗斯'!F26</f>
        <v>0.320802751679548</v>
      </c>
      <c r="G26" s="13">
        <f>'[2]2026年度男装数据汇总分析--俄罗斯'!G26</f>
        <v>0.30344390034843</v>
      </c>
      <c r="H26" s="13">
        <f>'[2]2026年度男装数据汇总分析--俄罗斯'!H26</f>
        <v>0.289968258691773</v>
      </c>
      <c r="I26" s="13" t="e">
        <f>'[2]2026年度男装数据汇总分析--俄罗斯'!I26</f>
        <v>#DIV/0!</v>
      </c>
      <c r="J26" s="13" t="e">
        <f>'[2]2026年度男装数据汇总分析--俄罗斯'!J26</f>
        <v>#DIV/0!</v>
      </c>
      <c r="K26" s="13" t="e">
        <f>'[2]2026年度男装数据汇总分析--俄罗斯'!K26</f>
        <v>#DIV/0!</v>
      </c>
      <c r="L26" s="13" t="e">
        <f>'[2]2026年度男装数据汇总分析--俄罗斯'!L26</f>
        <v>#DIV/0!</v>
      </c>
      <c r="M26" s="13" t="e">
        <f>'[2]2026年度男装数据汇总分析--俄罗斯'!M26</f>
        <v>#DIV/0!</v>
      </c>
      <c r="N26" s="13" t="e">
        <f>'[2]2026年度男装数据汇总分析--俄罗斯'!N26</f>
        <v>#DIV/0!</v>
      </c>
      <c r="O26" s="13">
        <f>'[2]2026年度男装数据汇总分析--俄罗斯'!O26</f>
        <v>0.323731208055765</v>
      </c>
    </row>
    <row r="27" s="37" customFormat="1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>'[2]2026年度男装数据汇总分析--俄罗斯'!C27</f>
        <v>0.659377093101139</v>
      </c>
      <c r="D27" s="13">
        <f>'[2]2026年度男装数据汇总分析--俄罗斯'!D27</f>
        <v>0.643808235185584</v>
      </c>
      <c r="E27" s="13">
        <f>'[2]2026年度男装数据汇总分析--俄罗斯'!E27</f>
        <v>0.630226746312325</v>
      </c>
      <c r="F27" s="13">
        <f>'[2]2026年度男装数据汇总分析--俄罗斯'!F27</f>
        <v>0.639861587602035</v>
      </c>
      <c r="G27" s="13">
        <f>'[2]2026年度男装数据汇总分析--俄罗斯'!G27</f>
        <v>0.653048256270325</v>
      </c>
      <c r="H27" s="13">
        <f>'[2]2026年度男装数据汇总分析--俄罗斯'!H27</f>
        <v>0.653804997796941</v>
      </c>
      <c r="I27" s="13" t="e">
        <f>'[2]2026年度男装数据汇总分析--俄罗斯'!I27</f>
        <v>#DIV/0!</v>
      </c>
      <c r="J27" s="13" t="e">
        <f>'[2]2026年度男装数据汇总分析--俄罗斯'!J27</f>
        <v>#DIV/0!</v>
      </c>
      <c r="K27" s="13" t="e">
        <f>'[2]2026年度男装数据汇总分析--俄罗斯'!K27</f>
        <v>#DIV/0!</v>
      </c>
      <c r="L27" s="13" t="e">
        <f>'[2]2026年度男装数据汇总分析--俄罗斯'!L27</f>
        <v>#DIV/0!</v>
      </c>
      <c r="M27" s="13" t="e">
        <f>'[2]2026年度男装数据汇总分析--俄罗斯'!M27</f>
        <v>#DIV/0!</v>
      </c>
      <c r="N27" s="13" t="e">
        <f>'[2]2026年度男装数据汇总分析--俄罗斯'!N27</f>
        <v>#DIV/0!</v>
      </c>
      <c r="O27" s="13">
        <f>'[2]2026年度男装数据汇总分析--俄罗斯'!O27</f>
        <v>0.645508409897287</v>
      </c>
    </row>
    <row r="28" s="37" customFormat="1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>
        <f>'[2]2026年度男装数据汇总分析--俄罗斯'!C28</f>
        <v>0.145234504234898</v>
      </c>
      <c r="D28" s="13">
        <f>'[2]2026年度男装数据汇总分析--俄罗斯'!D28</f>
        <v>0.161718384539644</v>
      </c>
      <c r="E28" s="13">
        <f>'[2]2026年度男装数据汇总分析--俄罗斯'!E28</f>
        <v>0.143925781456513</v>
      </c>
      <c r="F28" s="13">
        <f>'[2]2026年度男装数据汇总分析--俄罗斯'!F28</f>
        <v>0.161253017276299</v>
      </c>
      <c r="G28" s="13">
        <f>'[2]2026年度男装数据汇总分析--俄罗斯'!G28</f>
        <v>0.16938581938584</v>
      </c>
      <c r="H28" s="13">
        <f>'[2]2026年度男装数据汇总分析--俄罗斯'!H28</f>
        <v>0.168328126525073</v>
      </c>
      <c r="I28" s="13" t="e">
        <f>'[2]2026年度男装数据汇总分析--俄罗斯'!I28</f>
        <v>#DIV/0!</v>
      </c>
      <c r="J28" s="13" t="e">
        <f>'[2]2026年度男装数据汇总分析--俄罗斯'!J28</f>
        <v>#DIV/0!</v>
      </c>
      <c r="K28" s="13" t="e">
        <f>'[2]2026年度男装数据汇总分析--俄罗斯'!K28</f>
        <v>#DIV/0!</v>
      </c>
      <c r="L28" s="13" t="e">
        <f>'[2]2026年度男装数据汇总分析--俄罗斯'!L28</f>
        <v>#DIV/0!</v>
      </c>
      <c r="M28" s="13" t="e">
        <f>'[2]2026年度男装数据汇总分析--俄罗斯'!M28</f>
        <v>#DIV/0!</v>
      </c>
      <c r="N28" s="13" t="e">
        <f>'[2]2026年度男装数据汇总分析--俄罗斯'!N28</f>
        <v>#DIV/0!</v>
      </c>
      <c r="O28" s="13">
        <f>'[2]2026年度男装数据汇总分析--俄罗斯'!O28</f>
        <v>0.157118260972107</v>
      </c>
    </row>
    <row r="29" s="37" customFormat="1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  <row r="30" s="37" customFormat="1" spans="1:15">
      <c r="A30" s="7" t="str">
        <f>'[2]2026年度男装数据汇总分析--俄罗斯'!A30</f>
        <v>MYTF1店</v>
      </c>
      <c r="B30" s="21" t="str">
        <f>'[2]2026年度男装数据汇总分析--俄罗斯'!B30</f>
        <v>实际利润（人民币）</v>
      </c>
      <c r="C30" s="21">
        <f>'[2]2026年度男装数据汇总分析--俄罗斯'!C30</f>
        <v>390688.84</v>
      </c>
      <c r="D30" s="21">
        <f>'[2]2026年度男装数据汇总分析--俄罗斯'!D30</f>
        <v>444406.63</v>
      </c>
      <c r="E30" s="21">
        <f>'[2]2026年度男装数据汇总分析--俄罗斯'!E30</f>
        <v>359029.21</v>
      </c>
      <c r="F30" s="21">
        <f>'[2]2026年度男装数据汇总分析--俄罗斯'!F30</f>
        <v>364348.74</v>
      </c>
      <c r="G30" s="21">
        <f>'[2]2026年度男装数据汇总分析--俄罗斯'!G30</f>
        <v>213687.24</v>
      </c>
      <c r="H30" s="21">
        <f>'[2]2026年度男装数据汇总分析--俄罗斯'!H30</f>
        <v>102754.41</v>
      </c>
      <c r="I30" s="21">
        <f>'[2]2026年度男装数据汇总分析--俄罗斯'!I30</f>
        <v>0</v>
      </c>
      <c r="J30" s="21">
        <f>'[2]2026年度男装数据汇总分析--俄罗斯'!J30</f>
        <v>0</v>
      </c>
      <c r="K30" s="21">
        <f>'[2]2026年度男装数据汇总分析--俄罗斯'!K30</f>
        <v>0</v>
      </c>
      <c r="L30" s="21">
        <f>'[2]2026年度男装数据汇总分析--俄罗斯'!L30</f>
        <v>0</v>
      </c>
      <c r="M30" s="21">
        <f>'[2]2026年度男装数据汇总分析--俄罗斯'!M30</f>
        <v>0</v>
      </c>
      <c r="N30" s="21">
        <f>'[2]2026年度男装数据汇总分析--俄罗斯'!N30</f>
        <v>0</v>
      </c>
      <c r="O30" s="21">
        <f>'[2]2026年度男装数据汇总分析--俄罗斯'!O30</f>
        <v>1874915.07</v>
      </c>
    </row>
    <row r="31" s="37" customFormat="1" spans="1:15">
      <c r="A31" s="10">
        <f>'[2]2026年度男装数据汇总分析--俄罗斯'!A31</f>
        <v>0</v>
      </c>
      <c r="B31" s="1" t="str">
        <f>'[2]2026年度男装数据汇总分析--俄罗斯'!B31</f>
        <v>销量完成</v>
      </c>
      <c r="C31" s="1">
        <f>'[2]2026年度男装数据汇总分析--俄罗斯'!C31</f>
        <v>14746</v>
      </c>
      <c r="D31" s="1">
        <f>'[2]2026年度男装数据汇总分析--俄罗斯'!D31</f>
        <v>17117</v>
      </c>
      <c r="E31" s="1">
        <f>'[2]2026年度男装数据汇总分析--俄罗斯'!E31</f>
        <v>16800</v>
      </c>
      <c r="F31" s="1">
        <f>'[2]2026年度男装数据汇总分析--俄罗斯'!F31</f>
        <v>17188</v>
      </c>
      <c r="G31" s="1">
        <f>'[2]2026年度男装数据汇总分析--俄罗斯'!G31</f>
        <v>10453</v>
      </c>
      <c r="H31" s="1">
        <f>'[2]2026年度男装数据汇总分析--俄罗斯'!H31</f>
        <v>5785</v>
      </c>
      <c r="I31" s="1">
        <f>'[2]2026年度男装数据汇总分析--俄罗斯'!I31</f>
        <v>0</v>
      </c>
      <c r="J31" s="1">
        <f>'[2]2026年度男装数据汇总分析--俄罗斯'!J31</f>
        <v>0</v>
      </c>
      <c r="K31" s="1">
        <f>'[2]2026年度男装数据汇总分析--俄罗斯'!K31</f>
        <v>0</v>
      </c>
      <c r="L31" s="1">
        <f>'[2]2026年度男装数据汇总分析--俄罗斯'!L31</f>
        <v>0</v>
      </c>
      <c r="M31" s="1">
        <f>'[2]2026年度男装数据汇总分析--俄罗斯'!M31</f>
        <v>0</v>
      </c>
      <c r="N31" s="1">
        <f>'[2]2026年度男装数据汇总分析--俄罗斯'!N31</f>
        <v>0</v>
      </c>
      <c r="O31" s="1">
        <f>'[2]2026年度男装数据汇总分析--俄罗斯'!O31</f>
        <v>82089</v>
      </c>
    </row>
    <row r="32" s="37" customFormat="1" spans="1:15">
      <c r="A32" s="10">
        <f>'[2]2026年度男装数据汇总分析--俄罗斯'!A32</f>
        <v>0</v>
      </c>
      <c r="B32" s="1" t="str">
        <f>'[2]2026年度男装数据汇总分析--俄罗斯'!B32</f>
        <v>实销完成</v>
      </c>
      <c r="C32" s="1">
        <f>'[2]2026年度男装数据汇总分析--俄罗斯'!C32</f>
        <v>5079</v>
      </c>
      <c r="D32" s="1">
        <f>'[2]2026年度男装数据汇总分析--俄罗斯'!D32</f>
        <v>6543</v>
      </c>
      <c r="E32" s="1">
        <f>'[2]2026年度男装数据汇总分析--俄罗斯'!E32</f>
        <v>6518</v>
      </c>
      <c r="F32" s="1">
        <f>'[2]2026年度男装数据汇总分析--俄罗斯'!F32</f>
        <v>6412</v>
      </c>
      <c r="G32" s="1">
        <f>'[2]2026年度男装数据汇总分析--俄罗斯'!G32</f>
        <v>3602</v>
      </c>
      <c r="H32" s="1">
        <f>'[2]2026年度男装数据汇总分析--俄罗斯'!H32</f>
        <v>1927</v>
      </c>
      <c r="I32" s="1">
        <f>'[2]2026年度男装数据汇总分析--俄罗斯'!I32</f>
        <v>0</v>
      </c>
      <c r="J32" s="1">
        <f>'[2]2026年度男装数据汇总分析--俄罗斯'!J32</f>
        <v>0</v>
      </c>
      <c r="K32" s="1">
        <f>'[2]2026年度男装数据汇总分析--俄罗斯'!K32</f>
        <v>0</v>
      </c>
      <c r="L32" s="1">
        <f>'[2]2026年度男装数据汇总分析--俄罗斯'!L32</f>
        <v>0</v>
      </c>
      <c r="M32" s="1">
        <f>'[2]2026年度男装数据汇总分析--俄罗斯'!M32</f>
        <v>0</v>
      </c>
      <c r="N32" s="1">
        <f>'[2]2026年度男装数据汇总分析--俄罗斯'!N32</f>
        <v>0</v>
      </c>
      <c r="O32" s="1">
        <f>'[2]2026年度男装数据汇总分析--俄罗斯'!O32</f>
        <v>30081</v>
      </c>
    </row>
    <row r="33" s="37" customFormat="1" spans="1:15">
      <c r="A33" s="10">
        <f>'[2]2026年度男装数据汇总分析--俄罗斯'!A33</f>
        <v>0</v>
      </c>
      <c r="B33" s="21" t="str">
        <f>'[2]2026年度男装数据汇总分析--俄罗斯'!B33</f>
        <v>GMV完成</v>
      </c>
      <c r="C33" s="21">
        <f>'[2]2026年度男装数据汇总分析--俄罗斯'!C33</f>
        <v>5667565.2858</v>
      </c>
      <c r="D33" s="21">
        <f>'[2]2026年度男装数据汇总分析--俄罗斯'!D33</f>
        <v>7760834.8667</v>
      </c>
      <c r="E33" s="21">
        <f>'[2]2026年度男装数据汇总分析--俄罗斯'!E33</f>
        <v>6430144.456</v>
      </c>
      <c r="F33" s="21">
        <f>'[2]2026年度男装数据汇总分析--俄罗斯'!F33</f>
        <v>7017450.9096</v>
      </c>
      <c r="G33" s="21">
        <f>'[2]2026年度男装数据汇总分析--俄罗斯'!G33</f>
        <v>4439731.0488</v>
      </c>
      <c r="H33" s="21">
        <f>'[2]2026年度男装数据汇总分析--俄罗斯'!H33</f>
        <v>2511111.222</v>
      </c>
      <c r="I33" s="21">
        <f>'[2]2026年度男装数据汇总分析--俄罗斯'!I33</f>
        <v>0</v>
      </c>
      <c r="J33" s="21">
        <f>'[2]2026年度男装数据汇总分析--俄罗斯'!J33</f>
        <v>0</v>
      </c>
      <c r="K33" s="21">
        <f>'[2]2026年度男装数据汇总分析--俄罗斯'!K33</f>
        <v>0</v>
      </c>
      <c r="L33" s="21">
        <f>'[2]2026年度男装数据汇总分析--俄罗斯'!L33</f>
        <v>0</v>
      </c>
      <c r="M33" s="21">
        <f>'[2]2026年度男装数据汇总分析--俄罗斯'!M33</f>
        <v>0</v>
      </c>
      <c r="N33" s="21">
        <f>'[2]2026年度男装数据汇总分析--俄罗斯'!N33</f>
        <v>0</v>
      </c>
      <c r="O33" s="21">
        <f>'[2]2026年度男装数据汇总分析--俄罗斯'!O33</f>
        <v>33826837.7889</v>
      </c>
    </row>
    <row r="34" s="37" customFormat="1" spans="1:15">
      <c r="A34" s="10">
        <f>'[2]2026年度男装数据汇总分析--俄罗斯'!A34</f>
        <v>0</v>
      </c>
      <c r="B34" s="21" t="str">
        <f>'[2]2026年度男装数据汇总分析--俄罗斯'!B34</f>
        <v>GSV完成</v>
      </c>
      <c r="C34" s="21">
        <f>'[2]2026年度男装数据汇总分析--俄罗斯'!C34</f>
        <v>1999604.73</v>
      </c>
      <c r="D34" s="21">
        <f>'[2]2026年度男装数据汇总分析--俄罗斯'!D34</f>
        <v>2367138.83</v>
      </c>
      <c r="E34" s="21">
        <f>'[2]2026年度男装数据汇总分析--俄罗斯'!E34</f>
        <v>2265862.28</v>
      </c>
      <c r="F34" s="21">
        <f>'[2]2026年度男装数据汇总分析--俄罗斯'!F34</f>
        <v>2348681.79</v>
      </c>
      <c r="G34" s="21">
        <f>'[2]2026年度男装数据汇总分析--俄罗斯'!G34</f>
        <v>1407371.462</v>
      </c>
      <c r="H34" s="21">
        <f>'[2]2026年度男装数据汇总分析--俄罗斯'!H34</f>
        <v>699411.4057</v>
      </c>
      <c r="I34" s="21">
        <f>'[2]2026年度男装数据汇总分析--俄罗斯'!I34</f>
        <v>0</v>
      </c>
      <c r="J34" s="21">
        <f>'[2]2026年度男装数据汇总分析--俄罗斯'!J34</f>
        <v>0</v>
      </c>
      <c r="K34" s="21">
        <f>'[2]2026年度男装数据汇总分析--俄罗斯'!K34</f>
        <v>0</v>
      </c>
      <c r="L34" s="21">
        <f>'[2]2026年度男装数据汇总分析--俄罗斯'!L34</f>
        <v>0</v>
      </c>
      <c r="M34" s="21">
        <f>'[2]2026年度男装数据汇总分析--俄罗斯'!M34</f>
        <v>0</v>
      </c>
      <c r="N34" s="21">
        <f>'[2]2026年度男装数据汇总分析--俄罗斯'!N34</f>
        <v>0</v>
      </c>
      <c r="O34" s="21">
        <f>'[2]2026年度男装数据汇总分析--俄罗斯'!O34</f>
        <v>11088070.4977</v>
      </c>
    </row>
    <row r="35" s="37" customFormat="1" spans="1:15">
      <c r="A35" s="10">
        <f>'[2]2026年度男装数据汇总分析--俄罗斯'!A35</f>
        <v>0</v>
      </c>
      <c r="B35" s="1" t="str">
        <f>'[2]2026年度男装数据汇总分析--俄罗斯'!B35</f>
        <v>退款率</v>
      </c>
      <c r="C35" s="13">
        <f>'[2]2026年度男装数据汇总分析--俄罗斯'!C35</f>
        <v>0.352815473517346</v>
      </c>
      <c r="D35" s="13">
        <f>'[2]2026年度男装数据汇总分析--俄罗斯'!D35</f>
        <v>0.305010848788558</v>
      </c>
      <c r="E35" s="13">
        <f>'[2]2026年度男装数据汇总分析--俄罗斯'!E35</f>
        <v>0.352381240500081</v>
      </c>
      <c r="F35" s="13">
        <f>'[2]2026年度男装数据汇总分析--俄罗斯'!F35</f>
        <v>0.334691588192938</v>
      </c>
      <c r="G35" s="13">
        <f>'[2]2026年度男装数据汇总分析--俄罗斯'!G35</f>
        <v>0.316994756333358</v>
      </c>
      <c r="H35" s="13">
        <f>'[2]2026年度男装数据汇总分析--俄罗斯'!H35</f>
        <v>0.278526653687186</v>
      </c>
      <c r="I35" s="13" t="e">
        <f>'[2]2026年度男装数据汇总分析--俄罗斯'!I35</f>
        <v>#DIV/0!</v>
      </c>
      <c r="J35" s="13" t="e">
        <f>'[2]2026年度男装数据汇总分析--俄罗斯'!J35</f>
        <v>#DIV/0!</v>
      </c>
      <c r="K35" s="13" t="e">
        <f>'[2]2026年度男装数据汇总分析--俄罗斯'!K35</f>
        <v>#DIV/0!</v>
      </c>
      <c r="L35" s="13" t="e">
        <f>'[2]2026年度男装数据汇总分析--俄罗斯'!L35</f>
        <v>#DIV/0!</v>
      </c>
      <c r="M35" s="13" t="e">
        <f>'[2]2026年度男装数据汇总分析--俄罗斯'!M35</f>
        <v>#DIV/0!</v>
      </c>
      <c r="N35" s="13" t="e">
        <f>'[2]2026年度男装数据汇总分析--俄罗斯'!N35</f>
        <v>#DIV/0!</v>
      </c>
      <c r="O35" s="13">
        <f>'[2]2026年度男装数据汇总分析--俄罗斯'!O35</f>
        <v>0.327789152710528</v>
      </c>
    </row>
    <row r="36" s="37" customFormat="1" spans="1:15">
      <c r="A36" s="10">
        <f>'[2]2026年度男装数据汇总分析--俄罗斯'!A36</f>
        <v>0</v>
      </c>
      <c r="B36" s="1" t="str">
        <f>'[2]2026年度男装数据汇总分析--俄罗斯'!B36</f>
        <v>退货率</v>
      </c>
      <c r="C36" s="13">
        <f>'[2]2026年度男装数据汇总分析--俄罗斯'!C36</f>
        <v>0.655567611555676</v>
      </c>
      <c r="D36" s="13">
        <f>'[2]2026年度男装数据汇总分析--俄罗斯'!D36</f>
        <v>0.617748437226149</v>
      </c>
      <c r="E36" s="13">
        <f>'[2]2026年度男装数据汇总分析--俄罗斯'!E36</f>
        <v>0.61202380952381</v>
      </c>
      <c r="F36" s="13">
        <f>'[2]2026年度男装数据汇总分析--俄罗斯'!F36</f>
        <v>0.626949034209914</v>
      </c>
      <c r="G36" s="13">
        <f>'[2]2026年度男装数据汇总分析--俄罗斯'!G36</f>
        <v>0.655409930163589</v>
      </c>
      <c r="H36" s="13">
        <f>'[2]2026年度男装数据汇总分析--俄罗斯'!H36</f>
        <v>0.666897147796024</v>
      </c>
      <c r="I36" s="13" t="e">
        <f>'[2]2026年度男装数据汇总分析--俄罗斯'!I36</f>
        <v>#DIV/0!</v>
      </c>
      <c r="J36" s="13" t="e">
        <f>'[2]2026年度男装数据汇总分析--俄罗斯'!J36</f>
        <v>#DIV/0!</v>
      </c>
      <c r="K36" s="13" t="e">
        <f>'[2]2026年度男装数据汇总分析--俄罗斯'!K36</f>
        <v>#DIV/0!</v>
      </c>
      <c r="L36" s="13" t="e">
        <f>'[2]2026年度男装数据汇总分析--俄罗斯'!L36</f>
        <v>#DIV/0!</v>
      </c>
      <c r="M36" s="13" t="e">
        <f>'[2]2026年度男装数据汇总分析--俄罗斯'!M36</f>
        <v>#DIV/0!</v>
      </c>
      <c r="N36" s="13" t="e">
        <f>'[2]2026年度男装数据汇总分析--俄罗斯'!N36</f>
        <v>#DIV/0!</v>
      </c>
      <c r="O36" s="13">
        <f>'[2]2026年度男装数据汇总分析--俄罗斯'!O36</f>
        <v>0.633556262105763</v>
      </c>
    </row>
    <row r="37" s="37" customFormat="1" spans="1:15">
      <c r="A37" s="23">
        <f>'[2]2026年度男装数据汇总分析--俄罗斯'!A37</f>
        <v>0</v>
      </c>
      <c r="B37" s="1" t="str">
        <f>'[2]2026年度男装数据汇总分析--俄罗斯'!B37</f>
        <v>利润率</v>
      </c>
      <c r="C37" s="13">
        <f>'[2]2026年度男装数据汇总分析--俄罗斯'!C37</f>
        <v>0.195383034526029</v>
      </c>
      <c r="D37" s="13">
        <f>'[2]2026年度男装数据汇总分析--俄罗斯'!D37</f>
        <v>0.18773999410926</v>
      </c>
      <c r="E37" s="13">
        <f>'[2]2026年度男装数据汇总分析--俄罗斯'!E37</f>
        <v>0.158451470404459</v>
      </c>
      <c r="F37" s="13">
        <f>'[2]2026年度男装数据汇总分析--俄罗斯'!F37</f>
        <v>0.155129035168276</v>
      </c>
      <c r="G37" s="13">
        <f>'[2]2026年度男装数据汇总分析--俄罗斯'!G37</f>
        <v>0.15183428524004</v>
      </c>
      <c r="H37" s="13">
        <f>'[2]2026年度男装数据汇总分析--俄罗斯'!H37</f>
        <v>0.1469155480774</v>
      </c>
      <c r="I37" s="13" t="e">
        <f>'[2]2026年度男装数据汇总分析--俄罗斯'!I37</f>
        <v>#DIV/0!</v>
      </c>
      <c r="J37" s="13" t="e">
        <f>'[2]2026年度男装数据汇总分析--俄罗斯'!J37</f>
        <v>#DIV/0!</v>
      </c>
      <c r="K37" s="13" t="e">
        <f>'[2]2026年度男装数据汇总分析--俄罗斯'!K37</f>
        <v>#DIV/0!</v>
      </c>
      <c r="L37" s="13" t="e">
        <f>'[2]2026年度男装数据汇总分析--俄罗斯'!L37</f>
        <v>#DIV/0!</v>
      </c>
      <c r="M37" s="13" t="e">
        <f>'[2]2026年度男装数据汇总分析--俄罗斯'!M37</f>
        <v>#DIV/0!</v>
      </c>
      <c r="N37" s="13" t="e">
        <f>'[2]2026年度男装数据汇总分析--俄罗斯'!N37</f>
        <v>#DIV/0!</v>
      </c>
      <c r="O37" s="13">
        <f>'[2]2026年度男装数据汇总分析--俄罗斯'!O37</f>
        <v>0.169092996873434</v>
      </c>
    </row>
    <row r="38" s="37" customFormat="1" spans="1:15">
      <c r="A38" s="7" t="str">
        <f>'[2]2026年度男装数据汇总分析--俄罗斯'!A38</f>
        <v>MYTF5店</v>
      </c>
      <c r="B38" s="21" t="str">
        <f>'[2]2026年度男装数据汇总分析--俄罗斯'!B38</f>
        <v>实际利润（人民币）</v>
      </c>
      <c r="C38" s="21">
        <f>'[2]2026年度男装数据汇总分析--俄罗斯'!C38</f>
        <v>98745.23</v>
      </c>
      <c r="D38" s="21">
        <f>'[2]2026年度男装数据汇总分析--俄罗斯'!D38</f>
        <v>106782.42</v>
      </c>
      <c r="E38" s="21">
        <f>'[2]2026年度男装数据汇总分析--俄罗斯'!E38</f>
        <v>122622.34</v>
      </c>
      <c r="F38" s="21">
        <f>'[2]2026年度男装数据汇总分析--俄罗斯'!F38</f>
        <v>149415.87</v>
      </c>
      <c r="G38" s="21">
        <f>'[2]2026年度男装数据汇总分析--俄罗斯'!G38</f>
        <v>95805.82</v>
      </c>
      <c r="H38" s="21">
        <f>'[2]2026年度男装数据汇总分析--俄罗斯'!H38</f>
        <v>77964.2</v>
      </c>
      <c r="I38" s="21">
        <f>'[2]2026年度男装数据汇总分析--俄罗斯'!I38</f>
        <v>0</v>
      </c>
      <c r="J38" s="21">
        <f>'[2]2026年度男装数据汇总分析--俄罗斯'!J38</f>
        <v>0</v>
      </c>
      <c r="K38" s="21">
        <f>'[2]2026年度男装数据汇总分析--俄罗斯'!K38</f>
        <v>0</v>
      </c>
      <c r="L38" s="21">
        <f>'[2]2026年度男装数据汇总分析--俄罗斯'!L38</f>
        <v>0</v>
      </c>
      <c r="M38" s="21">
        <f>'[2]2026年度男装数据汇总分析--俄罗斯'!M38</f>
        <v>0</v>
      </c>
      <c r="N38" s="21">
        <f>'[2]2026年度男装数据汇总分析--俄罗斯'!N38</f>
        <v>0</v>
      </c>
      <c r="O38" s="21">
        <f>'[2]2026年度男装数据汇总分析--俄罗斯'!O38</f>
        <v>651335.88</v>
      </c>
    </row>
    <row r="39" s="37" customFormat="1" spans="1:15">
      <c r="A39" s="10">
        <f>'[2]2026年度男装数据汇总分析--俄罗斯'!A39</f>
        <v>0</v>
      </c>
      <c r="B39" s="1" t="str">
        <f>'[2]2026年度男装数据汇总分析--俄罗斯'!B39</f>
        <v>销量完成</v>
      </c>
      <c r="C39" s="1">
        <f>'[2]2026年度男装数据汇总分析--俄罗斯'!C39</f>
        <v>6740</v>
      </c>
      <c r="D39" s="1">
        <f>'[2]2026年度男装数据汇总分析--俄罗斯'!D39</f>
        <v>6619</v>
      </c>
      <c r="E39" s="1">
        <f>'[2]2026年度男装数据汇总分析--俄罗斯'!E39</f>
        <v>7334</v>
      </c>
      <c r="F39" s="1">
        <f>'[2]2026年度男装数据汇总分析--俄罗斯'!F39</f>
        <v>6965</v>
      </c>
      <c r="G39" s="1">
        <f>'[2]2026年度男装数据汇总分析--俄罗斯'!G39</f>
        <v>6417</v>
      </c>
      <c r="H39" s="1">
        <f>'[2]2026年度男装数据汇总分析--俄罗斯'!H39</f>
        <v>4008</v>
      </c>
      <c r="I39" s="1">
        <f>'[2]2026年度男装数据汇总分析--俄罗斯'!I39</f>
        <v>0</v>
      </c>
      <c r="J39" s="1">
        <f>'[2]2026年度男装数据汇总分析--俄罗斯'!J39</f>
        <v>0</v>
      </c>
      <c r="K39" s="1">
        <f>'[2]2026年度男装数据汇总分析--俄罗斯'!K39</f>
        <v>0</v>
      </c>
      <c r="L39" s="1">
        <f>'[2]2026年度男装数据汇总分析--俄罗斯'!L39</f>
        <v>0</v>
      </c>
      <c r="M39" s="1">
        <f>'[2]2026年度男装数据汇总分析--俄罗斯'!M39</f>
        <v>0</v>
      </c>
      <c r="N39" s="1">
        <f>'[2]2026年度男装数据汇总分析--俄罗斯'!N39</f>
        <v>0</v>
      </c>
      <c r="O39" s="1">
        <f>'[2]2026年度男装数据汇总分析--俄罗斯'!O39</f>
        <v>38083</v>
      </c>
    </row>
    <row r="40" s="37" customFormat="1" spans="1:15">
      <c r="A40" s="10">
        <f>'[2]2026年度男装数据汇总分析--俄罗斯'!A40</f>
        <v>0</v>
      </c>
      <c r="B40" s="1" t="str">
        <f>'[2]2026年度男装数据汇总分析--俄罗斯'!B40</f>
        <v>实销完成</v>
      </c>
      <c r="C40" s="1">
        <f>'[2]2026年度男装数据汇总分析--俄罗斯'!C40</f>
        <v>2322</v>
      </c>
      <c r="D40" s="1">
        <f>'[2]2026年度男装数据汇总分析--俄罗斯'!D40</f>
        <v>1989</v>
      </c>
      <c r="E40" s="1">
        <f>'[2]2026年度男装数据汇总分析--俄罗斯'!E40</f>
        <v>2504</v>
      </c>
      <c r="F40" s="1">
        <f>'[2]2026年度男装数据汇总分析--俄罗斯'!F40</f>
        <v>2459</v>
      </c>
      <c r="G40" s="1">
        <f>'[2]2026年度男装数据汇总分析--俄罗斯'!G40</f>
        <v>1916</v>
      </c>
      <c r="H40" s="1">
        <f>'[2]2026年度男装数据汇总分析--俄罗斯'!H40</f>
        <v>1324</v>
      </c>
      <c r="I40" s="1">
        <f>'[2]2026年度男装数据汇总分析--俄罗斯'!I40</f>
        <v>0</v>
      </c>
      <c r="J40" s="1">
        <f>'[2]2026年度男装数据汇总分析--俄罗斯'!J40</f>
        <v>0</v>
      </c>
      <c r="K40" s="1">
        <f>'[2]2026年度男装数据汇总分析--俄罗斯'!K40</f>
        <v>0</v>
      </c>
      <c r="L40" s="1">
        <f>'[2]2026年度男装数据汇总分析--俄罗斯'!L40</f>
        <v>0</v>
      </c>
      <c r="M40" s="1">
        <f>'[2]2026年度男装数据汇总分析--俄罗斯'!M40</f>
        <v>0</v>
      </c>
      <c r="N40" s="1">
        <f>'[2]2026年度男装数据汇总分析--俄罗斯'!N40</f>
        <v>0</v>
      </c>
      <c r="O40" s="1">
        <f>'[2]2026年度男装数据汇总分析--俄罗斯'!O40</f>
        <v>12514</v>
      </c>
    </row>
    <row r="41" s="37" customFormat="1" spans="1:15">
      <c r="A41" s="10">
        <f>'[2]2026年度男装数据汇总分析--俄罗斯'!A41</f>
        <v>0</v>
      </c>
      <c r="B41" s="21" t="str">
        <f>'[2]2026年度男装数据汇总分析--俄罗斯'!B41</f>
        <v>GMV完成</v>
      </c>
      <c r="C41" s="21">
        <f>'[2]2026年度男装数据汇总分析--俄罗斯'!C41</f>
        <v>2158725.2247</v>
      </c>
      <c r="D41" s="21">
        <f>'[2]2026年度男装数据汇总分析--俄罗斯'!D41</f>
        <v>2221214.7587</v>
      </c>
      <c r="E41" s="21">
        <f>'[2]2026年度男装数据汇总分析--俄罗斯'!E41</f>
        <v>2614149.1856</v>
      </c>
      <c r="F41" s="21">
        <f>'[2]2026年度男装数据汇总分析--俄罗斯'!F41</f>
        <v>2746120.052</v>
      </c>
      <c r="G41" s="21">
        <f>'[2]2026年度男装数据汇总分析--俄罗斯'!G41</f>
        <v>2954093.3256</v>
      </c>
      <c r="H41" s="21">
        <f>'[2]2026年度男装数据汇总分析--俄罗斯'!H41</f>
        <v>1634730.252</v>
      </c>
      <c r="I41" s="21">
        <f>'[2]2026年度男装数据汇总分析--俄罗斯'!I41</f>
        <v>0</v>
      </c>
      <c r="J41" s="21">
        <f>'[2]2026年度男装数据汇总分析--俄罗斯'!J41</f>
        <v>0</v>
      </c>
      <c r="K41" s="21">
        <f>'[2]2026年度男装数据汇总分析--俄罗斯'!K41</f>
        <v>0</v>
      </c>
      <c r="L41" s="21">
        <f>'[2]2026年度男装数据汇总分析--俄罗斯'!L41</f>
        <v>0</v>
      </c>
      <c r="M41" s="21">
        <f>'[2]2026年度男装数据汇总分析--俄罗斯'!M41</f>
        <v>0</v>
      </c>
      <c r="N41" s="21">
        <f>'[2]2026年度男装数据汇总分析--俄罗斯'!N41</f>
        <v>0</v>
      </c>
      <c r="O41" s="21">
        <f>'[2]2026年度男装数据汇总分析--俄罗斯'!O41</f>
        <v>14329032.7986</v>
      </c>
    </row>
    <row r="42" s="37" customFormat="1" spans="1:15">
      <c r="A42" s="10">
        <f>'[2]2026年度男装数据汇总分析--俄罗斯'!A42</f>
        <v>0</v>
      </c>
      <c r="B42" s="21" t="str">
        <f>'[2]2026年度男装数据汇总分析--俄罗斯'!B42</f>
        <v>GSV完成</v>
      </c>
      <c r="C42" s="21">
        <f>'[2]2026年度男装数据汇总分析--俄罗斯'!C42</f>
        <v>740366.43</v>
      </c>
      <c r="D42" s="21">
        <f>'[2]2026年度男装数据汇总分析--俄罗斯'!D42</f>
        <v>614880.34</v>
      </c>
      <c r="E42" s="21">
        <f>'[2]2026年度男装数据汇总分析--俄罗斯'!E42</f>
        <v>806577.74</v>
      </c>
      <c r="F42" s="21">
        <f>'[2]2026年度男装数据汇总分析--俄罗斯'!F42</f>
        <v>861340.47</v>
      </c>
      <c r="G42" s="21">
        <f>'[2]2026年度男装数据汇总分析--俄罗斯'!G42</f>
        <v>702420.3795</v>
      </c>
      <c r="H42" s="21">
        <f>'[2]2026年度男装数据汇总分析--俄罗斯'!H42</f>
        <v>458423.5943</v>
      </c>
      <c r="I42" s="21">
        <f>'[2]2026年度男装数据汇总分析--俄罗斯'!I42</f>
        <v>0</v>
      </c>
      <c r="J42" s="21">
        <f>'[2]2026年度男装数据汇总分析--俄罗斯'!J42</f>
        <v>0</v>
      </c>
      <c r="K42" s="21">
        <f>'[2]2026年度男装数据汇总分析--俄罗斯'!K42</f>
        <v>0</v>
      </c>
      <c r="L42" s="21">
        <f>'[2]2026年度男装数据汇总分析--俄罗斯'!L42</f>
        <v>0</v>
      </c>
      <c r="M42" s="21">
        <f>'[2]2026年度男装数据汇总分析--俄罗斯'!M42</f>
        <v>0</v>
      </c>
      <c r="N42" s="21">
        <f>'[2]2026年度男装数据汇总分析--俄罗斯'!N42</f>
        <v>0</v>
      </c>
      <c r="O42" s="21">
        <f>'[2]2026年度男装数据汇总分析--俄罗斯'!O42</f>
        <v>4184008.9538</v>
      </c>
    </row>
    <row r="43" s="37" customFormat="1" spans="1:15">
      <c r="A43" s="10">
        <f>'[2]2026年度男装数据汇总分析--俄罗斯'!A43</f>
        <v>0</v>
      </c>
      <c r="B43" s="1" t="str">
        <f>'[2]2026年度男装数据汇总分析--俄罗斯'!B43</f>
        <v>退款率</v>
      </c>
      <c r="C43" s="13">
        <f>'[2]2026年度男装数据汇总分析--俄罗斯'!C43</f>
        <v>0.342964644841675</v>
      </c>
      <c r="D43" s="13">
        <f>'[2]2026年度男装数据汇总分析--俄罗斯'!D43</f>
        <v>0.276821652472662</v>
      </c>
      <c r="E43" s="13">
        <f>'[2]2026年度男装数据汇总分析--俄罗斯'!E43</f>
        <v>0.308543117754343</v>
      </c>
      <c r="F43" s="13">
        <f>'[2]2026年度男装数据汇总分析--俄罗斯'!F43</f>
        <v>0.313657252301364</v>
      </c>
      <c r="G43" s="13">
        <f>'[2]2026年度男装数据汇总分析--俄罗斯'!G43</f>
        <v>0.237778669147947</v>
      </c>
      <c r="H43" s="13">
        <f>'[2]2026年度男装数据汇总分析--俄罗斯'!H43</f>
        <v>0.280427669176089</v>
      </c>
      <c r="I43" s="13" t="e">
        <f>'[2]2026年度男装数据汇总分析--俄罗斯'!I43</f>
        <v>#DIV/0!</v>
      </c>
      <c r="J43" s="13" t="e">
        <f>'[2]2026年度男装数据汇总分析--俄罗斯'!J43</f>
        <v>#DIV/0!</v>
      </c>
      <c r="K43" s="13" t="e">
        <f>'[2]2026年度男装数据汇总分析--俄罗斯'!K43</f>
        <v>#DIV/0!</v>
      </c>
      <c r="L43" s="13" t="e">
        <f>'[2]2026年度男装数据汇总分析--俄罗斯'!L43</f>
        <v>#DIV/0!</v>
      </c>
      <c r="M43" s="13" t="e">
        <f>'[2]2026年度男装数据汇总分析--俄罗斯'!M43</f>
        <v>#DIV/0!</v>
      </c>
      <c r="N43" s="13" t="e">
        <f>'[2]2026年度男装数据汇总分析--俄罗斯'!N43</f>
        <v>#DIV/0!</v>
      </c>
      <c r="O43" s="13">
        <f>'[2]2026年度男装数据汇总分析--俄罗斯'!O43</f>
        <v>0.291995210884631</v>
      </c>
    </row>
    <row r="44" s="37" customFormat="1" spans="1:15">
      <c r="A44" s="10">
        <f>'[2]2026年度男装数据汇总分析--俄罗斯'!A44</f>
        <v>0</v>
      </c>
      <c r="B44" s="1" t="str">
        <f>'[2]2026年度男装数据汇总分析--俄罗斯'!B44</f>
        <v>退货率</v>
      </c>
      <c r="C44" s="13">
        <f>'[2]2026年度男装数据汇总分析--俄罗斯'!C44</f>
        <v>0.655489614243323</v>
      </c>
      <c r="D44" s="13">
        <f>'[2]2026年度男装数据汇总分析--俄罗斯'!D44</f>
        <v>0.699501435262124</v>
      </c>
      <c r="E44" s="13">
        <f>'[2]2026年度男装数据汇总分析--俄罗斯'!E44</f>
        <v>0.658576493046087</v>
      </c>
      <c r="F44" s="13">
        <f>'[2]2026年度男装数据汇总分析--俄罗斯'!F44</f>
        <v>0.646949030868629</v>
      </c>
      <c r="G44" s="13">
        <f>'[2]2026年度男装数据汇总分析--俄罗斯'!G44</f>
        <v>0.701418108150226</v>
      </c>
      <c r="H44" s="13">
        <f>'[2]2026年度男装数据汇总分析--俄罗斯'!H44</f>
        <v>0.669660678642715</v>
      </c>
      <c r="I44" s="13" t="e">
        <f>'[2]2026年度男装数据汇总分析--俄罗斯'!I44</f>
        <v>#DIV/0!</v>
      </c>
      <c r="J44" s="13" t="e">
        <f>'[2]2026年度男装数据汇总分析--俄罗斯'!J44</f>
        <v>#DIV/0!</v>
      </c>
      <c r="K44" s="13" t="e">
        <f>'[2]2026年度男装数据汇总分析--俄罗斯'!K44</f>
        <v>#DIV/0!</v>
      </c>
      <c r="L44" s="13" t="e">
        <f>'[2]2026年度男装数据汇总分析--俄罗斯'!L44</f>
        <v>#DIV/0!</v>
      </c>
      <c r="M44" s="13" t="e">
        <f>'[2]2026年度男装数据汇总分析--俄罗斯'!M44</f>
        <v>#DIV/0!</v>
      </c>
      <c r="N44" s="13" t="e">
        <f>'[2]2026年度男装数据汇总分析--俄罗斯'!N44</f>
        <v>#DIV/0!</v>
      </c>
      <c r="O44" s="13">
        <f>'[2]2026年度男装数据汇总分析--俄罗斯'!O44</f>
        <v>0.671401937872542</v>
      </c>
    </row>
    <row r="45" s="37" customFormat="1" spans="1:15">
      <c r="A45" s="23">
        <f>'[2]2026年度男装数据汇总分析--俄罗斯'!A45</f>
        <v>0</v>
      </c>
      <c r="B45" s="1" t="str">
        <f>'[2]2026年度男装数据汇总分析--俄罗斯'!B45</f>
        <v>利润率</v>
      </c>
      <c r="C45" s="13">
        <f>'[2]2026年度男装数据汇总分析--俄罗斯'!C45</f>
        <v>0.133373456708457</v>
      </c>
      <c r="D45" s="13">
        <f>'[2]2026年度男装数据汇总分析--俄罗斯'!D45</f>
        <v>0.173663740818254</v>
      </c>
      <c r="E45" s="13">
        <f>'[2]2026年度男装数据汇总分析--俄罗斯'!E45</f>
        <v>0.152027924797429</v>
      </c>
      <c r="F45" s="13">
        <f>'[2]2026年度男装数据汇总分析--俄罗斯'!F45</f>
        <v>0.173469000011111</v>
      </c>
      <c r="G45" s="13">
        <f>'[2]2026年度男装数据汇总分析--俄罗斯'!G45</f>
        <v>0.136393850173022</v>
      </c>
      <c r="H45" s="13">
        <f>'[2]2026年度男装数据汇总分析--俄罗斯'!H45</f>
        <v>0.170070216649841</v>
      </c>
      <c r="I45" s="13" t="e">
        <f>'[2]2026年度男装数据汇总分析--俄罗斯'!I45</f>
        <v>#DIV/0!</v>
      </c>
      <c r="J45" s="13" t="e">
        <f>'[2]2026年度男装数据汇总分析--俄罗斯'!J45</f>
        <v>#DIV/0!</v>
      </c>
      <c r="K45" s="13" t="e">
        <f>'[2]2026年度男装数据汇总分析--俄罗斯'!K45</f>
        <v>#DIV/0!</v>
      </c>
      <c r="L45" s="13" t="e">
        <f>'[2]2026年度男装数据汇总分析--俄罗斯'!L45</f>
        <v>#DIV/0!</v>
      </c>
      <c r="M45" s="13" t="e">
        <f>'[2]2026年度男装数据汇总分析--俄罗斯'!M45</f>
        <v>#DIV/0!</v>
      </c>
      <c r="N45" s="13" t="e">
        <f>'[2]2026年度男装数据汇总分析--俄罗斯'!N45</f>
        <v>#DIV/0!</v>
      </c>
      <c r="O45" s="13">
        <f>'[2]2026年度男装数据汇总分析--俄罗斯'!O45</f>
        <v>0.155672678331255</v>
      </c>
    </row>
    <row r="46" s="37" customFormat="1" spans="1:15">
      <c r="A46" s="7" t="str">
        <f>'[2]2026年度男装数据汇总分析--俄罗斯'!A46</f>
        <v>HZTF6店</v>
      </c>
      <c r="B46" s="21" t="str">
        <f>'[2]2026年度男装数据汇总分析--俄罗斯'!B46</f>
        <v>实际利润（人民币）</v>
      </c>
      <c r="C46" s="21">
        <f>'[2]2026年度男装数据汇总分析--俄罗斯'!C46</f>
        <v>14020.65</v>
      </c>
      <c r="D46" s="21">
        <f>'[2]2026年度男装数据汇总分析--俄罗斯'!D46</f>
        <v>66698.69</v>
      </c>
      <c r="E46" s="21">
        <f>'[2]2026年度男装数据汇总分析--俄罗斯'!E46</f>
        <v>115284.82</v>
      </c>
      <c r="F46" s="21">
        <f>'[2]2026年度男装数据汇总分析--俄罗斯'!F46</f>
        <v>169881.56</v>
      </c>
      <c r="G46" s="21">
        <f>'[2]2026年度男装数据汇总分析--俄罗斯'!G46</f>
        <v>267227.4</v>
      </c>
      <c r="H46" s="21">
        <f>'[2]2026年度男装数据汇总分析--俄罗斯'!H46</f>
        <v>131378.65</v>
      </c>
      <c r="I46" s="21">
        <f>'[2]2026年度男装数据汇总分析--俄罗斯'!I46</f>
        <v>0</v>
      </c>
      <c r="J46" s="21">
        <f>'[2]2026年度男装数据汇总分析--俄罗斯'!J46</f>
        <v>0</v>
      </c>
      <c r="K46" s="21">
        <f>'[2]2026年度男装数据汇总分析--俄罗斯'!K46</f>
        <v>0</v>
      </c>
      <c r="L46" s="21">
        <f>'[2]2026年度男装数据汇总分析--俄罗斯'!L46</f>
        <v>0</v>
      </c>
      <c r="M46" s="21">
        <f>'[2]2026年度男装数据汇总分析--俄罗斯'!M46</f>
        <v>0</v>
      </c>
      <c r="N46" s="21">
        <f>'[2]2026年度男装数据汇总分析--俄罗斯'!N46</f>
        <v>0</v>
      </c>
      <c r="O46" s="21">
        <f>'[2]2026年度男装数据汇总分析--俄罗斯'!O46</f>
        <v>764491.77</v>
      </c>
    </row>
    <row r="47" s="37" customFormat="1" spans="1:15">
      <c r="A47" s="10">
        <f>'[2]2026年度男装数据汇总分析--俄罗斯'!A47</f>
        <v>0</v>
      </c>
      <c r="B47" s="1" t="str">
        <f>'[2]2026年度男装数据汇总分析--俄罗斯'!B47</f>
        <v>销量完成</v>
      </c>
      <c r="C47" s="1">
        <f>'[2]2026年度男装数据汇总分析--俄罗斯'!C47</f>
        <v>2236</v>
      </c>
      <c r="D47" s="1">
        <f>'[2]2026年度男装数据汇总分析--俄罗斯'!D47</f>
        <v>4852</v>
      </c>
      <c r="E47" s="1">
        <f>'[2]2026年度男装数据汇总分析--俄罗斯'!E47</f>
        <v>6178</v>
      </c>
      <c r="F47" s="1">
        <f>'[2]2026年度男装数据汇总分析--俄罗斯'!F47</f>
        <v>7019</v>
      </c>
      <c r="G47" s="1">
        <f>'[2]2026年度男装数据汇总分析--俄罗斯'!G47</f>
        <v>8516</v>
      </c>
      <c r="H47" s="1">
        <f>'[2]2026年度男装数据汇总分析--俄罗斯'!H47</f>
        <v>5471</v>
      </c>
      <c r="I47" s="1">
        <f>'[2]2026年度男装数据汇总分析--俄罗斯'!I47</f>
        <v>0</v>
      </c>
      <c r="J47" s="1">
        <f>'[2]2026年度男装数据汇总分析--俄罗斯'!J47</f>
        <v>0</v>
      </c>
      <c r="K47" s="1">
        <f>'[2]2026年度男装数据汇总分析--俄罗斯'!K47</f>
        <v>0</v>
      </c>
      <c r="L47" s="1">
        <f>'[2]2026年度男装数据汇总分析--俄罗斯'!L47</f>
        <v>0</v>
      </c>
      <c r="M47" s="1">
        <f>'[2]2026年度男装数据汇总分析--俄罗斯'!M47</f>
        <v>0</v>
      </c>
      <c r="N47" s="1">
        <f>'[2]2026年度男装数据汇总分析--俄罗斯'!N47</f>
        <v>0</v>
      </c>
      <c r="O47" s="1">
        <f>'[2]2026年度男装数据汇总分析--俄罗斯'!O47</f>
        <v>34272</v>
      </c>
    </row>
    <row r="48" s="37" customFormat="1" spans="1:15">
      <c r="A48" s="10">
        <f>'[2]2026年度男装数据汇总分析--俄罗斯'!A48</f>
        <v>0</v>
      </c>
      <c r="B48" s="1" t="str">
        <f>'[2]2026年度男装数据汇总分析--俄罗斯'!B48</f>
        <v>实销完成</v>
      </c>
      <c r="C48" s="1">
        <f>'[2]2026年度男装数据汇总分析--俄罗斯'!C48</f>
        <v>621</v>
      </c>
      <c r="D48" s="1">
        <f>'[2]2026年度男装数据汇总分析--俄罗斯'!D48</f>
        <v>1541</v>
      </c>
      <c r="E48" s="1">
        <f>'[2]2026年度男装数据汇总分析--俄罗斯'!E48</f>
        <v>2178</v>
      </c>
      <c r="F48" s="1">
        <f>'[2]2026年度男装数据汇总分析--俄罗斯'!F48</f>
        <v>2410</v>
      </c>
      <c r="G48" s="1">
        <f>'[2]2026年度男装数据汇总分析--俄罗斯'!G48</f>
        <v>3226</v>
      </c>
      <c r="H48" s="1">
        <f>'[2]2026年度男装数据汇总分析--俄罗斯'!H48</f>
        <v>1994</v>
      </c>
      <c r="I48" s="1">
        <f>'[2]2026年度男装数据汇总分析--俄罗斯'!I48</f>
        <v>0</v>
      </c>
      <c r="J48" s="1">
        <f>'[2]2026年度男装数据汇总分析--俄罗斯'!J48</f>
        <v>0</v>
      </c>
      <c r="K48" s="1">
        <f>'[2]2026年度男装数据汇总分析--俄罗斯'!K48</f>
        <v>0</v>
      </c>
      <c r="L48" s="1">
        <f>'[2]2026年度男装数据汇总分析--俄罗斯'!L48</f>
        <v>0</v>
      </c>
      <c r="M48" s="1">
        <f>'[2]2026年度男装数据汇总分析--俄罗斯'!M48</f>
        <v>0</v>
      </c>
      <c r="N48" s="1">
        <f>'[2]2026年度男装数据汇总分析--俄罗斯'!N48</f>
        <v>0</v>
      </c>
      <c r="O48" s="1">
        <f>'[2]2026年度男装数据汇总分析--俄罗斯'!O48</f>
        <v>11970</v>
      </c>
    </row>
    <row r="49" s="37" customFormat="1" spans="1:15">
      <c r="A49" s="10">
        <f>'[2]2026年度男装数据汇总分析--俄罗斯'!A49</f>
        <v>0</v>
      </c>
      <c r="B49" s="21" t="str">
        <f>'[2]2026年度男装数据汇总分析--俄罗斯'!B49</f>
        <v>GMV完成</v>
      </c>
      <c r="C49" s="21">
        <f>'[2]2026年度男装数据汇总分析--俄罗斯'!C49</f>
        <v>715121.5005</v>
      </c>
      <c r="D49" s="21">
        <f>'[2]2026年度男装数据汇总分析--俄罗斯'!D49</f>
        <v>1585053.0701</v>
      </c>
      <c r="E49" s="21">
        <f>'[2]2026年度男装数据汇总分析--俄罗斯'!E49</f>
        <v>2306985.484</v>
      </c>
      <c r="F49" s="21">
        <f>'[2]2026年度男装数据汇总分析--俄罗斯'!F49</f>
        <v>2869544.286</v>
      </c>
      <c r="G49" s="21">
        <f>'[2]2026年度男装数据汇总分析--俄罗斯'!G49</f>
        <v>3625780.1448</v>
      </c>
      <c r="H49" s="21">
        <f>'[2]2026年度男装数据汇总分析--俄罗斯'!H49</f>
        <v>2274149.9952</v>
      </c>
      <c r="I49" s="21">
        <f>'[2]2026年度男装数据汇总分析--俄罗斯'!I49</f>
        <v>0</v>
      </c>
      <c r="J49" s="21">
        <f>'[2]2026年度男装数据汇总分析--俄罗斯'!J49</f>
        <v>0</v>
      </c>
      <c r="K49" s="21">
        <f>'[2]2026年度男装数据汇总分析--俄罗斯'!K49</f>
        <v>0</v>
      </c>
      <c r="L49" s="21">
        <f>'[2]2026年度男装数据汇总分析--俄罗斯'!L49</f>
        <v>0</v>
      </c>
      <c r="M49" s="21">
        <f>'[2]2026年度男装数据汇总分析--俄罗斯'!M49</f>
        <v>0</v>
      </c>
      <c r="N49" s="21">
        <f>'[2]2026年度男装数据汇总分析--俄罗斯'!N49</f>
        <v>0</v>
      </c>
      <c r="O49" s="21">
        <f>'[2]2026年度男装数据汇总分析--俄罗斯'!O49</f>
        <v>13376634.4806</v>
      </c>
    </row>
    <row r="50" s="37" customFormat="1" spans="1:15">
      <c r="A50" s="10">
        <f>'[2]2026年度男装数据汇总分析--俄罗斯'!A50</f>
        <v>0</v>
      </c>
      <c r="B50" s="21" t="str">
        <f>'[2]2026年度男装数据汇总分析--俄罗斯'!B50</f>
        <v>GSV完成</v>
      </c>
      <c r="C50" s="21">
        <f>'[2]2026年度男装数据汇总分析--俄罗斯'!C50</f>
        <v>199499.49</v>
      </c>
      <c r="D50" s="21">
        <f>'[2]2026年度男装数据汇总分析--俄罗斯'!D50</f>
        <v>522521.48</v>
      </c>
      <c r="E50" s="21">
        <f>'[2]2026年度男装数据汇总分析--俄罗斯'!E50</f>
        <v>726996.58</v>
      </c>
      <c r="F50" s="21">
        <f>'[2]2026年度男装数据汇总分析--俄罗斯'!F50</f>
        <v>863626.8</v>
      </c>
      <c r="G50" s="21">
        <f>'[2]2026年度男装数据汇总分析--俄罗斯'!G50</f>
        <v>1213786.7552</v>
      </c>
      <c r="H50" s="21">
        <f>'[2]2026年度男装数据汇总分析--俄罗斯'!H50</f>
        <v>692555.2367</v>
      </c>
      <c r="I50" s="21">
        <f>'[2]2026年度男装数据汇总分析--俄罗斯'!I50</f>
        <v>0</v>
      </c>
      <c r="J50" s="21">
        <f>'[2]2026年度男装数据汇总分析--俄罗斯'!J50</f>
        <v>0</v>
      </c>
      <c r="K50" s="21">
        <f>'[2]2026年度男装数据汇总分析--俄罗斯'!K50</f>
        <v>0</v>
      </c>
      <c r="L50" s="21">
        <f>'[2]2026年度男装数据汇总分析--俄罗斯'!L50</f>
        <v>0</v>
      </c>
      <c r="M50" s="21">
        <f>'[2]2026年度男装数据汇总分析--俄罗斯'!M50</f>
        <v>0</v>
      </c>
      <c r="N50" s="21">
        <f>'[2]2026年度男装数据汇总分析--俄罗斯'!N50</f>
        <v>0</v>
      </c>
      <c r="O50" s="21">
        <f>'[2]2026年度男装数据汇总分析--俄罗斯'!O50</f>
        <v>4218986.3419</v>
      </c>
    </row>
    <row r="51" s="37" customFormat="1" spans="1:15">
      <c r="A51" s="10">
        <f>'[2]2026年度男装数据汇总分析--俄罗斯'!A51</f>
        <v>0</v>
      </c>
      <c r="B51" s="1" t="str">
        <f>'[2]2026年度男装数据汇总分析--俄罗斯'!B51</f>
        <v>退款率</v>
      </c>
      <c r="C51" s="13">
        <f>'[2]2026年度男装数据汇总分析--俄罗斯'!C51</f>
        <v>0.278972859661629</v>
      </c>
      <c r="D51" s="13">
        <f>'[2]2026年度男装数据汇总分析--俄罗斯'!D51</f>
        <v>0.329655511135053</v>
      </c>
      <c r="E51" s="13">
        <f>'[2]2026年度男装数据汇总分析--俄罗斯'!E51</f>
        <v>0.315128372086454</v>
      </c>
      <c r="F51" s="13">
        <f>'[2]2026年度男装数据汇总分析--俄罗斯'!F51</f>
        <v>0.300963049852021</v>
      </c>
      <c r="G51" s="13">
        <f>'[2]2026年度男装数据汇总分析--俄罗斯'!G51</f>
        <v>0.334765679860865</v>
      </c>
      <c r="H51" s="13">
        <f>'[2]2026年度男装数据汇总分析--俄罗斯'!H51</f>
        <v>0.304533666715811</v>
      </c>
      <c r="I51" s="13" t="e">
        <f>'[2]2026年度男装数据汇总分析--俄罗斯'!I51</f>
        <v>#DIV/0!</v>
      </c>
      <c r="J51" s="13" t="e">
        <f>'[2]2026年度男装数据汇总分析--俄罗斯'!J51</f>
        <v>#DIV/0!</v>
      </c>
      <c r="K51" s="13" t="e">
        <f>'[2]2026年度男装数据汇总分析--俄罗斯'!K51</f>
        <v>#DIV/0!</v>
      </c>
      <c r="L51" s="13" t="e">
        <f>'[2]2026年度男装数据汇总分析--俄罗斯'!L51</f>
        <v>#DIV/0!</v>
      </c>
      <c r="M51" s="13" t="e">
        <f>'[2]2026年度男装数据汇总分析--俄罗斯'!M51</f>
        <v>#DIV/0!</v>
      </c>
      <c r="N51" s="13" t="e">
        <f>'[2]2026年度男装数据汇总分析--俄罗斯'!N51</f>
        <v>#DIV/0!</v>
      </c>
      <c r="O51" s="13">
        <f>'[2]2026年度男装数据汇总分析--俄罗斯'!O51</f>
        <v>0.315399688017098</v>
      </c>
    </row>
    <row r="52" s="37" customFormat="1" spans="1:15">
      <c r="A52" s="10">
        <f>'[2]2026年度男装数据汇总分析--俄罗斯'!A52</f>
        <v>0</v>
      </c>
      <c r="B52" s="1" t="str">
        <f>'[2]2026年度男装数据汇总分析--俄罗斯'!B52</f>
        <v>退货率</v>
      </c>
      <c r="C52" s="13">
        <f>'[2]2026年度男装数据汇总分析--俄罗斯'!C52</f>
        <v>0.722271914132379</v>
      </c>
      <c r="D52" s="13">
        <f>'[2]2026年度男装数据汇总分析--俄罗斯'!D52</f>
        <v>0.68239901071723</v>
      </c>
      <c r="E52" s="13">
        <f>'[2]2026年度男装数据汇总分析--俄罗斯'!E52</f>
        <v>0.647458724506313</v>
      </c>
      <c r="F52" s="13">
        <f>'[2]2026年度男装数据汇总分析--俄罗斯'!F52</f>
        <v>0.656646245903975</v>
      </c>
      <c r="G52" s="13">
        <f>'[2]2026年度男装数据汇总分析--俄罗斯'!G52</f>
        <v>0.621183654297792</v>
      </c>
      <c r="H52" s="13">
        <f>'[2]2026年度男装数据汇总分析--俄罗斯'!H52</f>
        <v>0.635532809358435</v>
      </c>
      <c r="I52" s="13" t="e">
        <f>'[2]2026年度男装数据汇总分析--俄罗斯'!I52</f>
        <v>#DIV/0!</v>
      </c>
      <c r="J52" s="13" t="e">
        <f>'[2]2026年度男装数据汇总分析--俄罗斯'!J52</f>
        <v>#DIV/0!</v>
      </c>
      <c r="K52" s="13" t="e">
        <f>'[2]2026年度男装数据汇总分析--俄罗斯'!K52</f>
        <v>#DIV/0!</v>
      </c>
      <c r="L52" s="13" t="e">
        <f>'[2]2026年度男装数据汇总分析--俄罗斯'!L52</f>
        <v>#DIV/0!</v>
      </c>
      <c r="M52" s="13" t="e">
        <f>'[2]2026年度男装数据汇总分析--俄罗斯'!M52</f>
        <v>#DIV/0!</v>
      </c>
      <c r="N52" s="13" t="e">
        <f>'[2]2026年度男装数据汇总分析--俄罗斯'!N52</f>
        <v>#DIV/0!</v>
      </c>
      <c r="O52" s="13">
        <f>'[2]2026年度男装数据汇总分析--俄罗斯'!O52</f>
        <v>0.650735294117647</v>
      </c>
    </row>
    <row r="53" s="37" customFormat="1" spans="1:15">
      <c r="A53" s="23">
        <f>'[2]2026年度男装数据汇总分析--俄罗斯'!A53</f>
        <v>0</v>
      </c>
      <c r="B53" s="1" t="str">
        <f>'[2]2026年度男装数据汇总分析--俄罗斯'!B53</f>
        <v>利润率</v>
      </c>
      <c r="C53" s="13">
        <f>'[2]2026年度男装数据汇总分析--俄罗斯'!C53</f>
        <v>0.0702791270293473</v>
      </c>
      <c r="D53" s="13">
        <f>'[2]2026年度男装数据汇总分析--俄罗斯'!D53</f>
        <v>0.127647747610299</v>
      </c>
      <c r="E53" s="13">
        <f>'[2]2026年度男装数据汇总分析--俄罗斯'!E53</f>
        <v>0.158576839522409</v>
      </c>
      <c r="F53" s="13">
        <f>'[2]2026年度男装数据汇总分析--俄罗斯'!F53</f>
        <v>0.196707142483304</v>
      </c>
      <c r="G53" s="13">
        <f>'[2]2026年度男装数据汇总分析--俄罗斯'!G53</f>
        <v>0.22016008895728</v>
      </c>
      <c r="H53" s="13">
        <f>'[2]2026年度男装数据汇总分析--俄罗斯'!H53</f>
        <v>0.189701330721307</v>
      </c>
      <c r="I53" s="13" t="e">
        <f>'[2]2026年度男装数据汇总分析--俄罗斯'!I53</f>
        <v>#DIV/0!</v>
      </c>
      <c r="J53" s="13" t="e">
        <f>'[2]2026年度男装数据汇总分析--俄罗斯'!J53</f>
        <v>#DIV/0!</v>
      </c>
      <c r="K53" s="13" t="e">
        <f>'[2]2026年度男装数据汇总分析--俄罗斯'!K53</f>
        <v>#DIV/0!</v>
      </c>
      <c r="L53" s="13" t="e">
        <f>'[2]2026年度男装数据汇总分析--俄罗斯'!L53</f>
        <v>#DIV/0!</v>
      </c>
      <c r="M53" s="13" t="e">
        <f>'[2]2026年度男装数据汇总分析--俄罗斯'!M53</f>
        <v>#DIV/0!</v>
      </c>
      <c r="N53" s="13" t="e">
        <f>'[2]2026年度男装数据汇总分析--俄罗斯'!N53</f>
        <v>#DIV/0!</v>
      </c>
      <c r="O53" s="13">
        <f>'[2]2026年度男装数据汇总分析--俄罗斯'!O53</f>
        <v>0.181202712700823</v>
      </c>
    </row>
    <row r="54" s="37" customFormat="1" spans="1:15">
      <c r="A54" s="7" t="str">
        <f>'[2]2026年度男装数据汇总分析--俄罗斯'!A54</f>
        <v>JDTF1店</v>
      </c>
      <c r="B54" s="21" t="str">
        <f>'[2]2026年度男装数据汇总分析--俄罗斯'!B54</f>
        <v>实际利润（人民币）</v>
      </c>
      <c r="C54" s="21">
        <f>'[2]2026年度男装数据汇总分析--俄罗斯'!C54</f>
        <v>69582.72</v>
      </c>
      <c r="D54" s="21">
        <f>'[2]2026年度男装数据汇总分析--俄罗斯'!D54</f>
        <v>29149.31</v>
      </c>
      <c r="E54" s="21">
        <f>'[2]2026年度男装数据汇总分析--俄罗斯'!E54</f>
        <v>-4952.39</v>
      </c>
      <c r="F54" s="21">
        <f>'[2]2026年度男装数据汇总分析--俄罗斯'!F54</f>
        <v>23093.23</v>
      </c>
      <c r="G54" s="21">
        <f>'[2]2026年度男装数据汇总分析--俄罗斯'!G54</f>
        <v>16701</v>
      </c>
      <c r="H54" s="21">
        <f>'[2]2026年度男装数据汇总分析--俄罗斯'!H54</f>
        <v>12941.37</v>
      </c>
      <c r="I54" s="21">
        <f>'[2]2026年度男装数据汇总分析--俄罗斯'!I54</f>
        <v>0</v>
      </c>
      <c r="J54" s="21">
        <f>'[2]2026年度男装数据汇总分析--俄罗斯'!J54</f>
        <v>0</v>
      </c>
      <c r="K54" s="21">
        <f>'[2]2026年度男装数据汇总分析--俄罗斯'!K54</f>
        <v>0</v>
      </c>
      <c r="L54" s="21">
        <f>'[2]2026年度男装数据汇总分析--俄罗斯'!L54</f>
        <v>0</v>
      </c>
      <c r="M54" s="21">
        <f>'[2]2026年度男装数据汇总分析--俄罗斯'!M54</f>
        <v>0</v>
      </c>
      <c r="N54" s="21">
        <f>'[2]2026年度男装数据汇总分析--俄罗斯'!N54</f>
        <v>0</v>
      </c>
      <c r="O54" s="21">
        <f>'[2]2026年度男装数据汇总分析--俄罗斯'!O54</f>
        <v>146515.24</v>
      </c>
    </row>
    <row r="55" s="37" customFormat="1" spans="1:15">
      <c r="A55" s="10">
        <f>'[2]2026年度男装数据汇总分析--俄罗斯'!A55</f>
        <v>0</v>
      </c>
      <c r="B55" s="1" t="str">
        <f>'[2]2026年度男装数据汇总分析--俄罗斯'!B55</f>
        <v>销量完成</v>
      </c>
      <c r="C55" s="1">
        <f>'[2]2026年度男装数据汇总分析--俄罗斯'!C55</f>
        <v>6138</v>
      </c>
      <c r="D55" s="1">
        <f>'[2]2026年度男装数据汇总分析--俄罗斯'!D55</f>
        <v>3931</v>
      </c>
      <c r="E55" s="1">
        <f>'[2]2026年度男装数据汇总分析--俄罗斯'!E55</f>
        <v>2500</v>
      </c>
      <c r="F55" s="1">
        <f>'[2]2026年度男装数据汇总分析--俄罗斯'!F55</f>
        <v>2640</v>
      </c>
      <c r="G55" s="1">
        <f>'[2]2026年度男装数据汇总分析--俄罗斯'!G55</f>
        <v>1367</v>
      </c>
      <c r="H55" s="1">
        <f>'[2]2026年度男装数据汇总分析--俄罗斯'!H55</f>
        <v>623</v>
      </c>
      <c r="I55" s="1">
        <f>'[2]2026年度男装数据汇总分析--俄罗斯'!I55</f>
        <v>0</v>
      </c>
      <c r="J55" s="1">
        <f>'[2]2026年度男装数据汇总分析--俄罗斯'!J55</f>
        <v>0</v>
      </c>
      <c r="K55" s="1">
        <f>'[2]2026年度男装数据汇总分析--俄罗斯'!K55</f>
        <v>0</v>
      </c>
      <c r="L55" s="1">
        <f>'[2]2026年度男装数据汇总分析--俄罗斯'!L55</f>
        <v>0</v>
      </c>
      <c r="M55" s="1">
        <f>'[2]2026年度男装数据汇总分析--俄罗斯'!M55</f>
        <v>0</v>
      </c>
      <c r="N55" s="1">
        <f>'[2]2026年度男装数据汇总分析--俄罗斯'!N55</f>
        <v>0</v>
      </c>
      <c r="O55" s="1">
        <f>'[2]2026年度男装数据汇总分析--俄罗斯'!O55</f>
        <v>17199</v>
      </c>
    </row>
    <row r="56" s="37" customFormat="1" spans="1:15">
      <c r="A56" s="10">
        <f>'[2]2026年度男装数据汇总分析--俄罗斯'!A56</f>
        <v>0</v>
      </c>
      <c r="B56" s="1" t="str">
        <f>'[2]2026年度男装数据汇总分析--俄罗斯'!B56</f>
        <v>实销完成</v>
      </c>
      <c r="C56" s="1">
        <f>'[2]2026年度男装数据汇总分析--俄罗斯'!C56</f>
        <v>2149</v>
      </c>
      <c r="D56" s="1">
        <f>'[2]2026年度男装数据汇总分析--俄罗斯'!D56</f>
        <v>1510</v>
      </c>
      <c r="E56" s="1">
        <f>'[2]2026年度男装数据汇总分析--俄罗斯'!E56</f>
        <v>933</v>
      </c>
      <c r="F56" s="1">
        <f>'[2]2026年度男装数据汇总分析--俄罗斯'!F56</f>
        <v>896</v>
      </c>
      <c r="G56" s="1">
        <f>'[2]2026年度男装数据汇总分析--俄罗斯'!G56</f>
        <v>538</v>
      </c>
      <c r="H56" s="1">
        <f>'[2]2026年度男装数据汇总分析--俄罗斯'!H56</f>
        <v>255</v>
      </c>
      <c r="I56" s="1">
        <f>'[2]2026年度男装数据汇总分析--俄罗斯'!I56</f>
        <v>0</v>
      </c>
      <c r="J56" s="1">
        <f>'[2]2026年度男装数据汇总分析--俄罗斯'!J56</f>
        <v>0</v>
      </c>
      <c r="K56" s="1">
        <f>'[2]2026年度男装数据汇总分析--俄罗斯'!K56</f>
        <v>0</v>
      </c>
      <c r="L56" s="1">
        <f>'[2]2026年度男装数据汇总分析--俄罗斯'!L56</f>
        <v>0</v>
      </c>
      <c r="M56" s="1">
        <f>'[2]2026年度男装数据汇总分析--俄罗斯'!M56</f>
        <v>0</v>
      </c>
      <c r="N56" s="1">
        <f>'[2]2026年度男装数据汇总分析--俄罗斯'!N56</f>
        <v>0</v>
      </c>
      <c r="O56" s="1">
        <f>'[2]2026年度男装数据汇总分析--俄罗斯'!O56</f>
        <v>6281</v>
      </c>
    </row>
    <row r="57" s="37" customFormat="1" spans="1:15">
      <c r="A57" s="10">
        <f>'[2]2026年度男装数据汇总分析--俄罗斯'!A57</f>
        <v>0</v>
      </c>
      <c r="B57" s="21" t="str">
        <f>'[2]2026年度男装数据汇总分析--俄罗斯'!B57</f>
        <v>GMV完成</v>
      </c>
      <c r="C57" s="21">
        <f>'[2]2026年度男装数据汇总分析--俄罗斯'!C57</f>
        <v>1986717.942</v>
      </c>
      <c r="D57" s="21">
        <f>'[2]2026年度男装数据汇总分析--俄罗斯'!D57</f>
        <v>1346880.8889</v>
      </c>
      <c r="E57" s="21">
        <f>'[2]2026年度男装数据汇总分析--俄罗斯'!E57</f>
        <v>917288.5728</v>
      </c>
      <c r="F57" s="21">
        <f>'[2]2026年度男装数据汇总分析--俄罗斯'!F57</f>
        <v>1028856.0636</v>
      </c>
      <c r="G57" s="21">
        <f>'[2]2026年度男装数据汇总分析--俄罗斯'!G57</f>
        <v>525763.644</v>
      </c>
      <c r="H57" s="21">
        <f>'[2]2026年度男装数据汇总分析--俄罗斯'!H57</f>
        <v>239297.004</v>
      </c>
      <c r="I57" s="21">
        <f>'[2]2026年度男装数据汇总分析--俄罗斯'!I57</f>
        <v>0</v>
      </c>
      <c r="J57" s="21">
        <f>'[2]2026年度男装数据汇总分析--俄罗斯'!J57</f>
        <v>0</v>
      </c>
      <c r="K57" s="21">
        <f>'[2]2026年度男装数据汇总分析--俄罗斯'!K57</f>
        <v>0</v>
      </c>
      <c r="L57" s="21">
        <f>'[2]2026年度男装数据汇总分析--俄罗斯'!L57</f>
        <v>0</v>
      </c>
      <c r="M57" s="21">
        <f>'[2]2026年度男装数据汇总分析--俄罗斯'!M57</f>
        <v>0</v>
      </c>
      <c r="N57" s="21">
        <f>'[2]2026年度男装数据汇总分析--俄罗斯'!N57</f>
        <v>0</v>
      </c>
      <c r="O57" s="21">
        <f>'[2]2026年度男装数据汇总分析--俄罗斯'!O57</f>
        <v>6044804.1153</v>
      </c>
    </row>
    <row r="58" s="37" customFormat="1" spans="1:15">
      <c r="A58" s="10">
        <f>'[2]2026年度男装数据汇总分析--俄罗斯'!A58</f>
        <v>0</v>
      </c>
      <c r="B58" s="21" t="str">
        <f>'[2]2026年度男装数据汇总分析--俄罗斯'!B58</f>
        <v>GSV完成</v>
      </c>
      <c r="C58" s="21">
        <f>'[2]2026年度男装数据汇总分析--俄罗斯'!C58</f>
        <v>1006130.59</v>
      </c>
      <c r="D58" s="21">
        <f>'[2]2026年度男装数据汇总分析--俄罗斯'!D58</f>
        <v>496470.44</v>
      </c>
      <c r="E58" s="21">
        <f>'[2]2026年度男装数据汇总分析--俄罗斯'!E58</f>
        <v>313683.19</v>
      </c>
      <c r="F58" s="21">
        <f>'[2]2026年度男装数据汇总分析--俄罗斯'!F58</f>
        <v>309148.93</v>
      </c>
      <c r="G58" s="21">
        <f>'[2]2026年度男装数据汇总分析--俄罗斯'!G58</f>
        <v>179792.9497</v>
      </c>
      <c r="H58" s="21">
        <f>'[2]2026年度男装数据汇总分析--俄罗斯'!H58</f>
        <v>80592.046</v>
      </c>
      <c r="I58" s="21">
        <f>'[2]2026年度男装数据汇总分析--俄罗斯'!I58</f>
        <v>0</v>
      </c>
      <c r="J58" s="21">
        <f>'[2]2026年度男装数据汇总分析--俄罗斯'!J58</f>
        <v>0</v>
      </c>
      <c r="K58" s="21">
        <f>'[2]2026年度男装数据汇总分析--俄罗斯'!K58</f>
        <v>0</v>
      </c>
      <c r="L58" s="21">
        <f>'[2]2026年度男装数据汇总分析--俄罗斯'!L58</f>
        <v>0</v>
      </c>
      <c r="M58" s="21">
        <f>'[2]2026年度男装数据汇总分析--俄罗斯'!M58</f>
        <v>0</v>
      </c>
      <c r="N58" s="21">
        <f>'[2]2026年度男装数据汇总分析--俄罗斯'!N58</f>
        <v>0</v>
      </c>
      <c r="O58" s="21">
        <f>'[2]2026年度男装数据汇总分析--俄罗斯'!O58</f>
        <v>2385818.1457</v>
      </c>
    </row>
    <row r="59" s="37" customFormat="1" spans="1:15">
      <c r="A59" s="10">
        <f>'[2]2026年度男装数据汇总分析--俄罗斯'!A59</f>
        <v>0</v>
      </c>
      <c r="B59" s="1" t="str">
        <f>'[2]2026年度男装数据汇总分析--俄罗斯'!B59</f>
        <v>退款率</v>
      </c>
      <c r="C59" s="13">
        <f>'[2]2026年度男装数据汇总分析--俄罗斯'!C59</f>
        <v>0.506428501363985</v>
      </c>
      <c r="D59" s="13">
        <f>'[2]2026年度男装数据汇总分析--俄罗斯'!D59</f>
        <v>0.368607531736135</v>
      </c>
      <c r="E59" s="13">
        <f>'[2]2026年度男装数据汇总分析--俄罗斯'!E59</f>
        <v>0.341967837931841</v>
      </c>
      <c r="F59" s="13">
        <f>'[2]2026年度男装数据汇总分析--俄罗斯'!F59</f>
        <v>0.300478308810543</v>
      </c>
      <c r="G59" s="13">
        <f>'[2]2026年度男装数据汇总分析--俄罗斯'!G59</f>
        <v>0.341965352210622</v>
      </c>
      <c r="H59" s="13">
        <f>'[2]2026年度男装数据汇总分析--俄罗斯'!H59</f>
        <v>0.336786690400854</v>
      </c>
      <c r="I59" s="13" t="e">
        <f>'[2]2026年度男装数据汇总分析--俄罗斯'!I59</f>
        <v>#DIV/0!</v>
      </c>
      <c r="J59" s="13" t="e">
        <f>'[2]2026年度男装数据汇总分析--俄罗斯'!J59</f>
        <v>#DIV/0!</v>
      </c>
      <c r="K59" s="13" t="e">
        <f>'[2]2026年度男装数据汇总分析--俄罗斯'!K59</f>
        <v>#DIV/0!</v>
      </c>
      <c r="L59" s="13" t="e">
        <f>'[2]2026年度男装数据汇总分析--俄罗斯'!L59</f>
        <v>#DIV/0!</v>
      </c>
      <c r="M59" s="13" t="e">
        <f>'[2]2026年度男装数据汇总分析--俄罗斯'!M59</f>
        <v>#DIV/0!</v>
      </c>
      <c r="N59" s="13" t="e">
        <f>'[2]2026年度男装数据汇总分析--俄罗斯'!N59</f>
        <v>#DIV/0!</v>
      </c>
      <c r="O59" s="13">
        <f>'[2]2026年度男装数据汇总分析--俄罗斯'!O59</f>
        <v>0.394689075144926</v>
      </c>
    </row>
    <row r="60" s="37" customFormat="1" spans="1:15">
      <c r="A60" s="10">
        <f>'[2]2026年度男装数据汇总分析--俄罗斯'!A60</f>
        <v>0</v>
      </c>
      <c r="B60" s="1" t="str">
        <f>'[2]2026年度男装数据汇总分析--俄罗斯'!B60</f>
        <v>退货率</v>
      </c>
      <c r="C60" s="13">
        <f>'[2]2026年度男装数据汇总分析--俄罗斯'!C60</f>
        <v>0.649885956337569</v>
      </c>
      <c r="D60" s="13">
        <f>'[2]2026年度男装数据汇总分析--俄罗斯'!D60</f>
        <v>0.615873823454592</v>
      </c>
      <c r="E60" s="13">
        <f>'[2]2026年度男装数据汇总分析--俄罗斯'!E60</f>
        <v>0.6268</v>
      </c>
      <c r="F60" s="13">
        <f>'[2]2026年度男装数据汇总分析--俄罗斯'!F60</f>
        <v>0.660606060606061</v>
      </c>
      <c r="G60" s="13">
        <f>'[2]2026年度男装数据汇总分析--俄罗斯'!G60</f>
        <v>0.606437454279444</v>
      </c>
      <c r="H60" s="13">
        <f>'[2]2026年度男装数据汇总分析--俄罗斯'!H60</f>
        <v>0.590690208667737</v>
      </c>
      <c r="I60" s="13" t="e">
        <f>'[2]2026年度男装数据汇总分析--俄罗斯'!I60</f>
        <v>#DIV/0!</v>
      </c>
      <c r="J60" s="13" t="e">
        <f>'[2]2026年度男装数据汇总分析--俄罗斯'!J60</f>
        <v>#DIV/0!</v>
      </c>
      <c r="K60" s="13" t="e">
        <f>'[2]2026年度男装数据汇总分析--俄罗斯'!K60</f>
        <v>#DIV/0!</v>
      </c>
      <c r="L60" s="13" t="e">
        <f>'[2]2026年度男装数据汇总分析--俄罗斯'!L60</f>
        <v>#DIV/0!</v>
      </c>
      <c r="M60" s="13" t="e">
        <f>'[2]2026年度男装数据汇总分析--俄罗斯'!M60</f>
        <v>#DIV/0!</v>
      </c>
      <c r="N60" s="13" t="e">
        <f>'[2]2026年度男装数据汇总分析--俄罗斯'!N60</f>
        <v>#DIV/0!</v>
      </c>
      <c r="O60" s="13">
        <f>'[2]2026年度男装数据汇总分析--俄罗斯'!O60</f>
        <v>0.634804349090063</v>
      </c>
    </row>
    <row r="61" s="37" customFormat="1" spans="1:15">
      <c r="A61" s="23">
        <f>'[2]2026年度男装数据汇总分析--俄罗斯'!A61</f>
        <v>0</v>
      </c>
      <c r="B61" s="1" t="str">
        <f>'[2]2026年度男装数据汇总分析--俄罗斯'!B61</f>
        <v>利润率</v>
      </c>
      <c r="C61" s="13">
        <f>'[2]2026年度男装数据汇总分析--俄罗斯'!C61</f>
        <v>0.0691587361437843</v>
      </c>
      <c r="D61" s="13">
        <f>'[2]2026年度男装数据汇总分析--俄罗斯'!D61</f>
        <v>0.0587130826963233</v>
      </c>
      <c r="E61" s="13">
        <f>'[2]2026年度男装数据汇总分析--俄罗斯'!E61</f>
        <v>-0.0157878718333616</v>
      </c>
      <c r="F61" s="13">
        <f>'[2]2026年度男装数据汇总分析--俄罗斯'!F61</f>
        <v>0.074699369006388</v>
      </c>
      <c r="G61" s="13">
        <f>'[2]2026年度男装数据汇总分析--俄罗斯'!G61</f>
        <v>0.0928901830014306</v>
      </c>
      <c r="H61" s="13">
        <f>'[2]2026年度男装数据汇总分析--俄罗斯'!H61</f>
        <v>0.160578749917827</v>
      </c>
      <c r="I61" s="13" t="e">
        <f>'[2]2026年度男装数据汇总分析--俄罗斯'!I61</f>
        <v>#DIV/0!</v>
      </c>
      <c r="J61" s="13" t="e">
        <f>'[2]2026年度男装数据汇总分析--俄罗斯'!J61</f>
        <v>#DIV/0!</v>
      </c>
      <c r="K61" s="13" t="e">
        <f>'[2]2026年度男装数据汇总分析--俄罗斯'!K61</f>
        <v>#DIV/0!</v>
      </c>
      <c r="L61" s="13" t="e">
        <f>'[2]2026年度男装数据汇总分析--俄罗斯'!L61</f>
        <v>#DIV/0!</v>
      </c>
      <c r="M61" s="13" t="e">
        <f>'[2]2026年度男装数据汇总分析--俄罗斯'!M61</f>
        <v>#DIV/0!</v>
      </c>
      <c r="N61" s="13" t="e">
        <f>'[2]2026年度男装数据汇总分析--俄罗斯'!N61</f>
        <v>#DIV/0!</v>
      </c>
      <c r="O61" s="13">
        <f>'[2]2026年度男装数据汇总分析--俄罗斯'!O61</f>
        <v>0.0614109001828437</v>
      </c>
    </row>
    <row r="62" s="37" customFormat="1" spans="1:15">
      <c r="A62" s="7" t="str">
        <f>'[2]2026年度男装数据汇总分析--俄罗斯'!A62</f>
        <v>新店1</v>
      </c>
      <c r="B62" s="1" t="str">
        <f>'[2]2026年度男装数据汇总分析--俄罗斯'!B62</f>
        <v>实际利润（人民币）</v>
      </c>
      <c r="C62" s="1">
        <f>'[2]2026年度男装数据汇总分析--俄罗斯'!C62</f>
        <v>0</v>
      </c>
      <c r="D62" s="1">
        <f>'[2]2026年度男装数据汇总分析--俄罗斯'!D62</f>
        <v>0</v>
      </c>
      <c r="E62" s="1">
        <f>'[2]2026年度男装数据汇总分析--俄罗斯'!E62</f>
        <v>0</v>
      </c>
      <c r="F62" s="1">
        <f>'[2]2026年度男装数据汇总分析--俄罗斯'!F62</f>
        <v>0</v>
      </c>
      <c r="G62" s="1">
        <f>'[2]2026年度男装数据汇总分析--俄罗斯'!G62</f>
        <v>0</v>
      </c>
      <c r="H62" s="1">
        <f>'[2]2026年度男装数据汇总分析--俄罗斯'!H62</f>
        <v>0</v>
      </c>
      <c r="I62" s="1">
        <f>'[2]2026年度男装数据汇总分析--俄罗斯'!I62</f>
        <v>0</v>
      </c>
      <c r="J62" s="1">
        <f>'[2]2026年度男装数据汇总分析--俄罗斯'!J62</f>
        <v>0</v>
      </c>
      <c r="K62" s="1">
        <f>'[2]2026年度男装数据汇总分析--俄罗斯'!K62</f>
        <v>0</v>
      </c>
      <c r="L62" s="1">
        <f>'[2]2026年度男装数据汇总分析--俄罗斯'!L62</f>
        <v>0</v>
      </c>
      <c r="M62" s="1">
        <f>'[2]2026年度男装数据汇总分析--俄罗斯'!M62</f>
        <v>0</v>
      </c>
      <c r="N62" s="1">
        <f>'[2]2026年度男装数据汇总分析--俄罗斯'!N62</f>
        <v>0</v>
      </c>
      <c r="O62" s="1">
        <f>'[2]2026年度男装数据汇总分析--俄罗斯'!O62</f>
        <v>0</v>
      </c>
    </row>
    <row r="63" s="37" customFormat="1" spans="1:15">
      <c r="A63" s="10">
        <f>'[2]2026年度男装数据汇总分析--俄罗斯'!A63</f>
        <v>0</v>
      </c>
      <c r="B63" s="1" t="str">
        <f>'[2]2026年度男装数据汇总分析--俄罗斯'!B63</f>
        <v>销量完成</v>
      </c>
      <c r="C63" s="1">
        <f>'[2]2026年度男装数据汇总分析--俄罗斯'!C63</f>
        <v>0</v>
      </c>
      <c r="D63" s="1">
        <f>'[2]2026年度男装数据汇总分析--俄罗斯'!D63</f>
        <v>0</v>
      </c>
      <c r="E63" s="1">
        <f>'[2]2026年度男装数据汇总分析--俄罗斯'!E63</f>
        <v>0</v>
      </c>
      <c r="F63" s="1">
        <f>'[2]2026年度男装数据汇总分析--俄罗斯'!F63</f>
        <v>0</v>
      </c>
      <c r="G63" s="1">
        <f>'[2]2026年度男装数据汇总分析--俄罗斯'!G63</f>
        <v>0</v>
      </c>
      <c r="H63" s="1">
        <f>'[2]2026年度男装数据汇总分析--俄罗斯'!H63</f>
        <v>0</v>
      </c>
      <c r="I63" s="1">
        <f>'[2]2026年度男装数据汇总分析--俄罗斯'!I63</f>
        <v>0</v>
      </c>
      <c r="J63" s="1">
        <f>'[2]2026年度男装数据汇总分析--俄罗斯'!J63</f>
        <v>0</v>
      </c>
      <c r="K63" s="1">
        <f>'[2]2026年度男装数据汇总分析--俄罗斯'!K63</f>
        <v>0</v>
      </c>
      <c r="L63" s="1">
        <f>'[2]2026年度男装数据汇总分析--俄罗斯'!L63</f>
        <v>0</v>
      </c>
      <c r="M63" s="1">
        <f>'[2]2026年度男装数据汇总分析--俄罗斯'!M63</f>
        <v>0</v>
      </c>
      <c r="N63" s="1">
        <f>'[2]2026年度男装数据汇总分析--俄罗斯'!N63</f>
        <v>0</v>
      </c>
      <c r="O63" s="1">
        <f>'[2]2026年度男装数据汇总分析--俄罗斯'!O63</f>
        <v>0</v>
      </c>
    </row>
    <row r="64" s="37" customFormat="1" spans="1:15">
      <c r="A64" s="10">
        <f>'[2]2026年度男装数据汇总分析--俄罗斯'!A64</f>
        <v>0</v>
      </c>
      <c r="B64" s="1" t="str">
        <f>'[2]2026年度男装数据汇总分析--俄罗斯'!B64</f>
        <v>实销完成</v>
      </c>
      <c r="C64" s="1">
        <f>'[2]2026年度男装数据汇总分析--俄罗斯'!C64</f>
        <v>0</v>
      </c>
      <c r="D64" s="1">
        <f>'[2]2026年度男装数据汇总分析--俄罗斯'!D64</f>
        <v>0</v>
      </c>
      <c r="E64" s="1">
        <f>'[2]2026年度男装数据汇总分析--俄罗斯'!E64</f>
        <v>0</v>
      </c>
      <c r="F64" s="1">
        <f>'[2]2026年度男装数据汇总分析--俄罗斯'!F64</f>
        <v>0</v>
      </c>
      <c r="G64" s="1">
        <f>'[2]2026年度男装数据汇总分析--俄罗斯'!G64</f>
        <v>0</v>
      </c>
      <c r="H64" s="1">
        <f>'[2]2026年度男装数据汇总分析--俄罗斯'!H64</f>
        <v>0</v>
      </c>
      <c r="I64" s="1">
        <f>'[2]2026年度男装数据汇总分析--俄罗斯'!I64</f>
        <v>0</v>
      </c>
      <c r="J64" s="1">
        <f>'[2]2026年度男装数据汇总分析--俄罗斯'!J64</f>
        <v>0</v>
      </c>
      <c r="K64" s="1">
        <f>'[2]2026年度男装数据汇总分析--俄罗斯'!K64</f>
        <v>0</v>
      </c>
      <c r="L64" s="1">
        <f>'[2]2026年度男装数据汇总分析--俄罗斯'!L64</f>
        <v>0</v>
      </c>
      <c r="M64" s="1">
        <f>'[2]2026年度男装数据汇总分析--俄罗斯'!M64</f>
        <v>0</v>
      </c>
      <c r="N64" s="1">
        <f>'[2]2026年度男装数据汇总分析--俄罗斯'!N64</f>
        <v>0</v>
      </c>
      <c r="O64" s="1">
        <f>'[2]2026年度男装数据汇总分析--俄罗斯'!O64</f>
        <v>0</v>
      </c>
    </row>
    <row r="65" s="37" customFormat="1" spans="1:15">
      <c r="A65" s="10">
        <f>'[2]2026年度男装数据汇总分析--俄罗斯'!A65</f>
        <v>0</v>
      </c>
      <c r="B65" s="1" t="str">
        <f>'[2]2026年度男装数据汇总分析--俄罗斯'!B65</f>
        <v>GMV完成</v>
      </c>
      <c r="C65" s="1">
        <f>'[2]2026年度男装数据汇总分析--俄罗斯'!C65</f>
        <v>0</v>
      </c>
      <c r="D65" s="1">
        <f>'[2]2026年度男装数据汇总分析--俄罗斯'!D65</f>
        <v>0</v>
      </c>
      <c r="E65" s="1">
        <f>'[2]2026年度男装数据汇总分析--俄罗斯'!E65</f>
        <v>0</v>
      </c>
      <c r="F65" s="1">
        <f>'[2]2026年度男装数据汇总分析--俄罗斯'!F65</f>
        <v>0</v>
      </c>
      <c r="G65" s="1">
        <f>'[2]2026年度男装数据汇总分析--俄罗斯'!G65</f>
        <v>0</v>
      </c>
      <c r="H65" s="1">
        <f>'[2]2026年度男装数据汇总分析--俄罗斯'!H65</f>
        <v>0</v>
      </c>
      <c r="I65" s="1">
        <f>'[2]2026年度男装数据汇总分析--俄罗斯'!I65</f>
        <v>0</v>
      </c>
      <c r="J65" s="1">
        <f>'[2]2026年度男装数据汇总分析--俄罗斯'!J65</f>
        <v>0</v>
      </c>
      <c r="K65" s="1">
        <f>'[2]2026年度男装数据汇总分析--俄罗斯'!K65</f>
        <v>0</v>
      </c>
      <c r="L65" s="1">
        <f>'[2]2026年度男装数据汇总分析--俄罗斯'!L65</f>
        <v>0</v>
      </c>
      <c r="M65" s="1">
        <f>'[2]2026年度男装数据汇总分析--俄罗斯'!M65</f>
        <v>0</v>
      </c>
      <c r="N65" s="1">
        <f>'[2]2026年度男装数据汇总分析--俄罗斯'!N65</f>
        <v>0</v>
      </c>
      <c r="O65" s="1">
        <f>'[2]2026年度男装数据汇总分析--俄罗斯'!O65</f>
        <v>0</v>
      </c>
    </row>
    <row r="66" s="37" customFormat="1" spans="1:15">
      <c r="A66" s="10">
        <f>'[2]2026年度男装数据汇总分析--俄罗斯'!A66</f>
        <v>0</v>
      </c>
      <c r="B66" s="1" t="str">
        <f>'[2]2026年度男装数据汇总分析--俄罗斯'!B66</f>
        <v>GSV完成</v>
      </c>
      <c r="C66" s="1">
        <f>'[2]2026年度男装数据汇总分析--俄罗斯'!C66</f>
        <v>0</v>
      </c>
      <c r="D66" s="1">
        <f>'[2]2026年度男装数据汇总分析--俄罗斯'!D66</f>
        <v>0</v>
      </c>
      <c r="E66" s="1">
        <f>'[2]2026年度男装数据汇总分析--俄罗斯'!E66</f>
        <v>0</v>
      </c>
      <c r="F66" s="1">
        <f>'[2]2026年度男装数据汇总分析--俄罗斯'!F66</f>
        <v>0</v>
      </c>
      <c r="G66" s="1">
        <f>'[2]2026年度男装数据汇总分析--俄罗斯'!G66</f>
        <v>0</v>
      </c>
      <c r="H66" s="1">
        <f>'[2]2026年度男装数据汇总分析--俄罗斯'!H66</f>
        <v>0</v>
      </c>
      <c r="I66" s="1">
        <f>'[2]2026年度男装数据汇总分析--俄罗斯'!I66</f>
        <v>0</v>
      </c>
      <c r="J66" s="1">
        <f>'[2]2026年度男装数据汇总分析--俄罗斯'!J66</f>
        <v>0</v>
      </c>
      <c r="K66" s="1">
        <f>'[2]2026年度男装数据汇总分析--俄罗斯'!K66</f>
        <v>0</v>
      </c>
      <c r="L66" s="1">
        <f>'[2]2026年度男装数据汇总分析--俄罗斯'!L66</f>
        <v>0</v>
      </c>
      <c r="M66" s="1">
        <f>'[2]2026年度男装数据汇总分析--俄罗斯'!M66</f>
        <v>0</v>
      </c>
      <c r="N66" s="1">
        <f>'[2]2026年度男装数据汇总分析--俄罗斯'!N66</f>
        <v>0</v>
      </c>
      <c r="O66" s="1">
        <f>'[2]2026年度男装数据汇总分析--俄罗斯'!O66</f>
        <v>0</v>
      </c>
    </row>
    <row r="67" s="37" customFormat="1" spans="1:15">
      <c r="A67" s="10">
        <f>'[2]2026年度男装数据汇总分析--俄罗斯'!A67</f>
        <v>0</v>
      </c>
      <c r="B67" s="1" t="str">
        <f>'[2]2026年度男装数据汇总分析--俄罗斯'!B67</f>
        <v>退款率</v>
      </c>
      <c r="C67" s="13" t="e">
        <f>'[2]2026年度男装数据汇总分析--俄罗斯'!C67</f>
        <v>#DIV/0!</v>
      </c>
      <c r="D67" s="13" t="e">
        <f>'[2]2026年度男装数据汇总分析--俄罗斯'!D67</f>
        <v>#DIV/0!</v>
      </c>
      <c r="E67" s="13" t="e">
        <f>'[2]2026年度男装数据汇总分析--俄罗斯'!E67</f>
        <v>#DIV/0!</v>
      </c>
      <c r="F67" s="13" t="e">
        <f>'[2]2026年度男装数据汇总分析--俄罗斯'!F67</f>
        <v>#DIV/0!</v>
      </c>
      <c r="G67" s="13" t="e">
        <f>'[2]2026年度男装数据汇总分析--俄罗斯'!G67</f>
        <v>#DIV/0!</v>
      </c>
      <c r="H67" s="13" t="e">
        <f>'[2]2026年度男装数据汇总分析--俄罗斯'!H67</f>
        <v>#DIV/0!</v>
      </c>
      <c r="I67" s="13" t="e">
        <f>'[2]2026年度男装数据汇总分析--俄罗斯'!I67</f>
        <v>#DIV/0!</v>
      </c>
      <c r="J67" s="13" t="e">
        <f>'[2]2026年度男装数据汇总分析--俄罗斯'!J67</f>
        <v>#DIV/0!</v>
      </c>
      <c r="K67" s="13" t="e">
        <f>'[2]2026年度男装数据汇总分析--俄罗斯'!K67</f>
        <v>#DIV/0!</v>
      </c>
      <c r="L67" s="13" t="e">
        <f>'[2]2026年度男装数据汇总分析--俄罗斯'!L67</f>
        <v>#DIV/0!</v>
      </c>
      <c r="M67" s="13" t="e">
        <f>'[2]2026年度男装数据汇总分析--俄罗斯'!M67</f>
        <v>#DIV/0!</v>
      </c>
      <c r="N67" s="13" t="e">
        <f>'[2]2026年度男装数据汇总分析--俄罗斯'!N67</f>
        <v>#DIV/0!</v>
      </c>
      <c r="O67" s="13" t="e">
        <f>'[2]2026年度男装数据汇总分析--俄罗斯'!O67</f>
        <v>#DIV/0!</v>
      </c>
    </row>
    <row r="68" s="37" customFormat="1" spans="1:15">
      <c r="A68" s="10">
        <f>'[2]2026年度男装数据汇总分析--俄罗斯'!A68</f>
        <v>0</v>
      </c>
      <c r="B68" s="1" t="str">
        <f>'[2]2026年度男装数据汇总分析--俄罗斯'!B68</f>
        <v>退货率</v>
      </c>
      <c r="C68" s="13" t="e">
        <f>'[2]2026年度男装数据汇总分析--俄罗斯'!C68</f>
        <v>#DIV/0!</v>
      </c>
      <c r="D68" s="13" t="e">
        <f>'[2]2026年度男装数据汇总分析--俄罗斯'!D68</f>
        <v>#DIV/0!</v>
      </c>
      <c r="E68" s="13" t="e">
        <f>'[2]2026年度男装数据汇总分析--俄罗斯'!E68</f>
        <v>#DIV/0!</v>
      </c>
      <c r="F68" s="13" t="e">
        <f>'[2]2026年度男装数据汇总分析--俄罗斯'!F68</f>
        <v>#DIV/0!</v>
      </c>
      <c r="G68" s="13" t="e">
        <f>'[2]2026年度男装数据汇总分析--俄罗斯'!G68</f>
        <v>#DIV/0!</v>
      </c>
      <c r="H68" s="13" t="e">
        <f>'[2]2026年度男装数据汇总分析--俄罗斯'!H68</f>
        <v>#DIV/0!</v>
      </c>
      <c r="I68" s="13" t="e">
        <f>'[2]2026年度男装数据汇总分析--俄罗斯'!I68</f>
        <v>#DIV/0!</v>
      </c>
      <c r="J68" s="13" t="e">
        <f>'[2]2026年度男装数据汇总分析--俄罗斯'!J68</f>
        <v>#DIV/0!</v>
      </c>
      <c r="K68" s="13" t="e">
        <f>'[2]2026年度男装数据汇总分析--俄罗斯'!K68</f>
        <v>#DIV/0!</v>
      </c>
      <c r="L68" s="13" t="e">
        <f>'[2]2026年度男装数据汇总分析--俄罗斯'!L68</f>
        <v>#DIV/0!</v>
      </c>
      <c r="M68" s="13" t="e">
        <f>'[2]2026年度男装数据汇总分析--俄罗斯'!M68</f>
        <v>#DIV/0!</v>
      </c>
      <c r="N68" s="13" t="e">
        <f>'[2]2026年度男装数据汇总分析--俄罗斯'!N68</f>
        <v>#DIV/0!</v>
      </c>
      <c r="O68" s="13" t="e">
        <f>'[2]2026年度男装数据汇总分析--俄罗斯'!O68</f>
        <v>#DIV/0!</v>
      </c>
    </row>
    <row r="69" s="37" customFormat="1" spans="1:15">
      <c r="A69" s="23">
        <f>'[2]2026年度男装数据汇总分析--俄罗斯'!A69</f>
        <v>0</v>
      </c>
      <c r="B69" s="1" t="str">
        <f>'[2]2026年度男装数据汇总分析--俄罗斯'!B69</f>
        <v>利润率</v>
      </c>
      <c r="C69" s="13" t="e">
        <f>'[2]2026年度男装数据汇总分析--俄罗斯'!C69</f>
        <v>#DIV/0!</v>
      </c>
      <c r="D69" s="13" t="e">
        <f>'[2]2026年度男装数据汇总分析--俄罗斯'!D69</f>
        <v>#DIV/0!</v>
      </c>
      <c r="E69" s="13" t="e">
        <f>'[2]2026年度男装数据汇总分析--俄罗斯'!E69</f>
        <v>#DIV/0!</v>
      </c>
      <c r="F69" s="13" t="e">
        <f>'[2]2026年度男装数据汇总分析--俄罗斯'!F69</f>
        <v>#DIV/0!</v>
      </c>
      <c r="G69" s="13" t="e">
        <f>'[2]2026年度男装数据汇总分析--俄罗斯'!G69</f>
        <v>#DIV/0!</v>
      </c>
      <c r="H69" s="13" t="e">
        <f>'[2]2026年度男装数据汇总分析--俄罗斯'!H69</f>
        <v>#DIV/0!</v>
      </c>
      <c r="I69" s="13" t="e">
        <f>'[2]2026年度男装数据汇总分析--俄罗斯'!I69</f>
        <v>#DIV/0!</v>
      </c>
      <c r="J69" s="13" t="e">
        <f>'[2]2026年度男装数据汇总分析--俄罗斯'!J69</f>
        <v>#DIV/0!</v>
      </c>
      <c r="K69" s="13" t="e">
        <f>'[2]2026年度男装数据汇总分析--俄罗斯'!K69</f>
        <v>#DIV/0!</v>
      </c>
      <c r="L69" s="13" t="e">
        <f>'[2]2026年度男装数据汇总分析--俄罗斯'!L69</f>
        <v>#DIV/0!</v>
      </c>
      <c r="M69" s="13" t="e">
        <f>'[2]2026年度男装数据汇总分析--俄罗斯'!M69</f>
        <v>#DIV/0!</v>
      </c>
      <c r="N69" s="13" t="e">
        <f>'[2]2026年度男装数据汇总分析--俄罗斯'!N69</f>
        <v>#DIV/0!</v>
      </c>
      <c r="O69" s="13" t="e">
        <f>'[2]2026年度男装数据汇总分析--俄罗斯'!O69</f>
        <v>#DIV/0!</v>
      </c>
    </row>
    <row r="70" s="37" customFormat="1" spans="1:15">
      <c r="A70" s="7" t="str">
        <f>'[2]2026年度男装数据汇总分析--俄罗斯'!A70</f>
        <v>新店2</v>
      </c>
      <c r="B70" s="1" t="str">
        <f>'[2]2026年度男装数据汇总分析--俄罗斯'!B70</f>
        <v>实际利润（人民币）</v>
      </c>
      <c r="C70" s="1">
        <f>'[2]2026年度男装数据汇总分析--俄罗斯'!C70</f>
        <v>0</v>
      </c>
      <c r="D70" s="1">
        <f>'[2]2026年度男装数据汇总分析--俄罗斯'!D70</f>
        <v>0</v>
      </c>
      <c r="E70" s="1">
        <f>'[2]2026年度男装数据汇总分析--俄罗斯'!E70</f>
        <v>0</v>
      </c>
      <c r="F70" s="1">
        <f>'[2]2026年度男装数据汇总分析--俄罗斯'!F70</f>
        <v>0</v>
      </c>
      <c r="G70" s="1">
        <f>'[2]2026年度男装数据汇总分析--俄罗斯'!G70</f>
        <v>0</v>
      </c>
      <c r="H70" s="1">
        <f>'[2]2026年度男装数据汇总分析--俄罗斯'!H70</f>
        <v>0</v>
      </c>
      <c r="I70" s="1">
        <f>'[2]2026年度男装数据汇总分析--俄罗斯'!I70</f>
        <v>0</v>
      </c>
      <c r="J70" s="1">
        <f>'[2]2026年度男装数据汇总分析--俄罗斯'!J70</f>
        <v>0</v>
      </c>
      <c r="K70" s="1">
        <f>'[2]2026年度男装数据汇总分析--俄罗斯'!K70</f>
        <v>0</v>
      </c>
      <c r="L70" s="1">
        <f>'[2]2026年度男装数据汇总分析--俄罗斯'!L70</f>
        <v>0</v>
      </c>
      <c r="M70" s="1">
        <f>'[2]2026年度男装数据汇总分析--俄罗斯'!M70</f>
        <v>0</v>
      </c>
      <c r="N70" s="1">
        <f>'[2]2026年度男装数据汇总分析--俄罗斯'!N70</f>
        <v>0</v>
      </c>
      <c r="O70" s="1">
        <f>'[2]2026年度男装数据汇总分析--俄罗斯'!O70</f>
        <v>0</v>
      </c>
    </row>
    <row r="71" s="37" customFormat="1" spans="1:15">
      <c r="A71" s="10">
        <f>'[2]2026年度男装数据汇总分析--俄罗斯'!A71</f>
        <v>0</v>
      </c>
      <c r="B71" s="1" t="str">
        <f>'[2]2026年度男装数据汇总分析--俄罗斯'!B71</f>
        <v>销量完成</v>
      </c>
      <c r="C71" s="1">
        <f>'[2]2026年度男装数据汇总分析--俄罗斯'!C71</f>
        <v>0</v>
      </c>
      <c r="D71" s="1">
        <f>'[2]2026年度男装数据汇总分析--俄罗斯'!D71</f>
        <v>0</v>
      </c>
      <c r="E71" s="1">
        <f>'[2]2026年度男装数据汇总分析--俄罗斯'!E71</f>
        <v>0</v>
      </c>
      <c r="F71" s="1">
        <f>'[2]2026年度男装数据汇总分析--俄罗斯'!F71</f>
        <v>0</v>
      </c>
      <c r="G71" s="1">
        <f>'[2]2026年度男装数据汇总分析--俄罗斯'!G71</f>
        <v>0</v>
      </c>
      <c r="H71" s="1">
        <f>'[2]2026年度男装数据汇总分析--俄罗斯'!H71</f>
        <v>0</v>
      </c>
      <c r="I71" s="1">
        <f>'[2]2026年度男装数据汇总分析--俄罗斯'!I71</f>
        <v>0</v>
      </c>
      <c r="J71" s="1">
        <f>'[2]2026年度男装数据汇总分析--俄罗斯'!J71</f>
        <v>0</v>
      </c>
      <c r="K71" s="1">
        <f>'[2]2026年度男装数据汇总分析--俄罗斯'!K71</f>
        <v>0</v>
      </c>
      <c r="L71" s="1">
        <f>'[2]2026年度男装数据汇总分析--俄罗斯'!L71</f>
        <v>0</v>
      </c>
      <c r="M71" s="1">
        <f>'[2]2026年度男装数据汇总分析--俄罗斯'!M71</f>
        <v>0</v>
      </c>
      <c r="N71" s="1">
        <f>'[2]2026年度男装数据汇总分析--俄罗斯'!N71</f>
        <v>0</v>
      </c>
      <c r="O71" s="1">
        <f>'[2]2026年度男装数据汇总分析--俄罗斯'!O71</f>
        <v>0</v>
      </c>
    </row>
    <row r="72" s="37" customFormat="1" spans="1:15">
      <c r="A72" s="10">
        <f>'[2]2026年度男装数据汇总分析--俄罗斯'!A72</f>
        <v>0</v>
      </c>
      <c r="B72" s="1" t="str">
        <f>'[2]2026年度男装数据汇总分析--俄罗斯'!B72</f>
        <v>实销完成</v>
      </c>
      <c r="C72" s="1">
        <f>'[2]2026年度男装数据汇总分析--俄罗斯'!C72</f>
        <v>0</v>
      </c>
      <c r="D72" s="1">
        <f>'[2]2026年度男装数据汇总分析--俄罗斯'!D72</f>
        <v>0</v>
      </c>
      <c r="E72" s="1">
        <f>'[2]2026年度男装数据汇总分析--俄罗斯'!E72</f>
        <v>0</v>
      </c>
      <c r="F72" s="1">
        <f>'[2]2026年度男装数据汇总分析--俄罗斯'!F72</f>
        <v>0</v>
      </c>
      <c r="G72" s="1">
        <f>'[2]2026年度男装数据汇总分析--俄罗斯'!G72</f>
        <v>0</v>
      </c>
      <c r="H72" s="1">
        <f>'[2]2026年度男装数据汇总分析--俄罗斯'!H72</f>
        <v>0</v>
      </c>
      <c r="I72" s="1">
        <f>'[2]2026年度男装数据汇总分析--俄罗斯'!I72</f>
        <v>0</v>
      </c>
      <c r="J72" s="1">
        <f>'[2]2026年度男装数据汇总分析--俄罗斯'!J72</f>
        <v>0</v>
      </c>
      <c r="K72" s="1">
        <f>'[2]2026年度男装数据汇总分析--俄罗斯'!K72</f>
        <v>0</v>
      </c>
      <c r="L72" s="1">
        <f>'[2]2026年度男装数据汇总分析--俄罗斯'!L72</f>
        <v>0</v>
      </c>
      <c r="M72" s="1">
        <f>'[2]2026年度男装数据汇总分析--俄罗斯'!M72</f>
        <v>0</v>
      </c>
      <c r="N72" s="1">
        <f>'[2]2026年度男装数据汇总分析--俄罗斯'!N72</f>
        <v>0</v>
      </c>
      <c r="O72" s="1">
        <f>'[2]2026年度男装数据汇总分析--俄罗斯'!O72</f>
        <v>0</v>
      </c>
    </row>
    <row r="73" s="37" customFormat="1" spans="1:15">
      <c r="A73" s="10">
        <f>'[2]2026年度男装数据汇总分析--俄罗斯'!A73</f>
        <v>0</v>
      </c>
      <c r="B73" s="1" t="str">
        <f>'[2]2026年度男装数据汇总分析--俄罗斯'!B73</f>
        <v>GMV完成</v>
      </c>
      <c r="C73" s="1">
        <f>'[2]2026年度男装数据汇总分析--俄罗斯'!C73</f>
        <v>0</v>
      </c>
      <c r="D73" s="1">
        <f>'[2]2026年度男装数据汇总分析--俄罗斯'!D73</f>
        <v>0</v>
      </c>
      <c r="E73" s="1">
        <f>'[2]2026年度男装数据汇总分析--俄罗斯'!E73</f>
        <v>0</v>
      </c>
      <c r="F73" s="1">
        <f>'[2]2026年度男装数据汇总分析--俄罗斯'!F73</f>
        <v>0</v>
      </c>
      <c r="G73" s="1">
        <f>'[2]2026年度男装数据汇总分析--俄罗斯'!G73</f>
        <v>0</v>
      </c>
      <c r="H73" s="1">
        <f>'[2]2026年度男装数据汇总分析--俄罗斯'!H73</f>
        <v>0</v>
      </c>
      <c r="I73" s="1">
        <f>'[2]2026年度男装数据汇总分析--俄罗斯'!I73</f>
        <v>0</v>
      </c>
      <c r="J73" s="1">
        <f>'[2]2026年度男装数据汇总分析--俄罗斯'!J73</f>
        <v>0</v>
      </c>
      <c r="K73" s="1">
        <f>'[2]2026年度男装数据汇总分析--俄罗斯'!K73</f>
        <v>0</v>
      </c>
      <c r="L73" s="1">
        <f>'[2]2026年度男装数据汇总分析--俄罗斯'!L73</f>
        <v>0</v>
      </c>
      <c r="M73" s="1">
        <f>'[2]2026年度男装数据汇总分析--俄罗斯'!M73</f>
        <v>0</v>
      </c>
      <c r="N73" s="1">
        <f>'[2]2026年度男装数据汇总分析--俄罗斯'!N73</f>
        <v>0</v>
      </c>
      <c r="O73" s="1">
        <f>'[2]2026年度男装数据汇总分析--俄罗斯'!O73</f>
        <v>0</v>
      </c>
    </row>
    <row r="74" s="37" customFormat="1" spans="1:15">
      <c r="A74" s="10">
        <f>'[2]2026年度男装数据汇总分析--俄罗斯'!A74</f>
        <v>0</v>
      </c>
      <c r="B74" s="1" t="str">
        <f>'[2]2026年度男装数据汇总分析--俄罗斯'!B74</f>
        <v>GSV完成</v>
      </c>
      <c r="C74" s="1">
        <f>'[2]2026年度男装数据汇总分析--俄罗斯'!C74</f>
        <v>0</v>
      </c>
      <c r="D74" s="1">
        <f>'[2]2026年度男装数据汇总分析--俄罗斯'!D74</f>
        <v>0</v>
      </c>
      <c r="E74" s="1">
        <f>'[2]2026年度男装数据汇总分析--俄罗斯'!E74</f>
        <v>0</v>
      </c>
      <c r="F74" s="1">
        <f>'[2]2026年度男装数据汇总分析--俄罗斯'!F74</f>
        <v>0</v>
      </c>
      <c r="G74" s="1">
        <f>'[2]2026年度男装数据汇总分析--俄罗斯'!G74</f>
        <v>0</v>
      </c>
      <c r="H74" s="1">
        <f>'[2]2026年度男装数据汇总分析--俄罗斯'!H74</f>
        <v>0</v>
      </c>
      <c r="I74" s="1">
        <f>'[2]2026年度男装数据汇总分析--俄罗斯'!I74</f>
        <v>0</v>
      </c>
      <c r="J74" s="1">
        <f>'[2]2026年度男装数据汇总分析--俄罗斯'!J74</f>
        <v>0</v>
      </c>
      <c r="K74" s="1">
        <f>'[2]2026年度男装数据汇总分析--俄罗斯'!K74</f>
        <v>0</v>
      </c>
      <c r="L74" s="1">
        <f>'[2]2026年度男装数据汇总分析--俄罗斯'!L74</f>
        <v>0</v>
      </c>
      <c r="M74" s="1">
        <f>'[2]2026年度男装数据汇总分析--俄罗斯'!M74</f>
        <v>0</v>
      </c>
      <c r="N74" s="1">
        <f>'[2]2026年度男装数据汇总分析--俄罗斯'!N74</f>
        <v>0</v>
      </c>
      <c r="O74" s="1">
        <f>'[2]2026年度男装数据汇总分析--俄罗斯'!O74</f>
        <v>0</v>
      </c>
    </row>
    <row r="75" s="37" customFormat="1" spans="1:15">
      <c r="A75" s="10">
        <f>'[2]2026年度男装数据汇总分析--俄罗斯'!A75</f>
        <v>0</v>
      </c>
      <c r="B75" s="1" t="str">
        <f>'[2]2026年度男装数据汇总分析--俄罗斯'!B75</f>
        <v>退款率</v>
      </c>
      <c r="C75" s="13" t="e">
        <f>'[2]2026年度男装数据汇总分析--俄罗斯'!C75</f>
        <v>#DIV/0!</v>
      </c>
      <c r="D75" s="13" t="e">
        <f>'[2]2026年度男装数据汇总分析--俄罗斯'!D75</f>
        <v>#DIV/0!</v>
      </c>
      <c r="E75" s="13" t="e">
        <f>'[2]2026年度男装数据汇总分析--俄罗斯'!E75</f>
        <v>#DIV/0!</v>
      </c>
      <c r="F75" s="13" t="e">
        <f>'[2]2026年度男装数据汇总分析--俄罗斯'!F75</f>
        <v>#DIV/0!</v>
      </c>
      <c r="G75" s="13" t="e">
        <f>'[2]2026年度男装数据汇总分析--俄罗斯'!G75</f>
        <v>#DIV/0!</v>
      </c>
      <c r="H75" s="13" t="e">
        <f>'[2]2026年度男装数据汇总分析--俄罗斯'!H75</f>
        <v>#DIV/0!</v>
      </c>
      <c r="I75" s="13" t="e">
        <f>'[2]2026年度男装数据汇总分析--俄罗斯'!I75</f>
        <v>#DIV/0!</v>
      </c>
      <c r="J75" s="13" t="e">
        <f>'[2]2026年度男装数据汇总分析--俄罗斯'!J75</f>
        <v>#DIV/0!</v>
      </c>
      <c r="K75" s="13" t="e">
        <f>'[2]2026年度男装数据汇总分析--俄罗斯'!K75</f>
        <v>#DIV/0!</v>
      </c>
      <c r="L75" s="13" t="e">
        <f>'[2]2026年度男装数据汇总分析--俄罗斯'!L75</f>
        <v>#DIV/0!</v>
      </c>
      <c r="M75" s="13" t="e">
        <f>'[2]2026年度男装数据汇总分析--俄罗斯'!M75</f>
        <v>#DIV/0!</v>
      </c>
      <c r="N75" s="13" t="e">
        <f>'[2]2026年度男装数据汇总分析--俄罗斯'!N75</f>
        <v>#DIV/0!</v>
      </c>
      <c r="O75" s="13" t="e">
        <f>'[2]2026年度男装数据汇总分析--俄罗斯'!O75</f>
        <v>#DIV/0!</v>
      </c>
    </row>
    <row r="76" s="37" customFormat="1" spans="1:15">
      <c r="A76" s="10">
        <f>'[2]2026年度男装数据汇总分析--俄罗斯'!A76</f>
        <v>0</v>
      </c>
      <c r="B76" s="1" t="str">
        <f>'[2]2026年度男装数据汇总分析--俄罗斯'!B76</f>
        <v>退货率</v>
      </c>
      <c r="C76" s="13" t="e">
        <f>'[2]2026年度男装数据汇总分析--俄罗斯'!C76</f>
        <v>#DIV/0!</v>
      </c>
      <c r="D76" s="13" t="e">
        <f>'[2]2026年度男装数据汇总分析--俄罗斯'!D76</f>
        <v>#DIV/0!</v>
      </c>
      <c r="E76" s="13" t="e">
        <f>'[2]2026年度男装数据汇总分析--俄罗斯'!E76</f>
        <v>#DIV/0!</v>
      </c>
      <c r="F76" s="13" t="e">
        <f>'[2]2026年度男装数据汇总分析--俄罗斯'!F76</f>
        <v>#DIV/0!</v>
      </c>
      <c r="G76" s="13" t="e">
        <f>'[2]2026年度男装数据汇总分析--俄罗斯'!G76</f>
        <v>#DIV/0!</v>
      </c>
      <c r="H76" s="13" t="e">
        <f>'[2]2026年度男装数据汇总分析--俄罗斯'!H76</f>
        <v>#DIV/0!</v>
      </c>
      <c r="I76" s="13" t="e">
        <f>'[2]2026年度男装数据汇总分析--俄罗斯'!I76</f>
        <v>#DIV/0!</v>
      </c>
      <c r="J76" s="13" t="e">
        <f>'[2]2026年度男装数据汇总分析--俄罗斯'!J76</f>
        <v>#DIV/0!</v>
      </c>
      <c r="K76" s="13" t="e">
        <f>'[2]2026年度男装数据汇总分析--俄罗斯'!K76</f>
        <v>#DIV/0!</v>
      </c>
      <c r="L76" s="13" t="e">
        <f>'[2]2026年度男装数据汇总分析--俄罗斯'!L76</f>
        <v>#DIV/0!</v>
      </c>
      <c r="M76" s="13" t="e">
        <f>'[2]2026年度男装数据汇总分析--俄罗斯'!M76</f>
        <v>#DIV/0!</v>
      </c>
      <c r="N76" s="13" t="e">
        <f>'[2]2026年度男装数据汇总分析--俄罗斯'!N76</f>
        <v>#DIV/0!</v>
      </c>
      <c r="O76" s="13" t="e">
        <f>'[2]2026年度男装数据汇总分析--俄罗斯'!O76</f>
        <v>#DIV/0!</v>
      </c>
    </row>
    <row r="77" s="37" customFormat="1" spans="1:15">
      <c r="A77" s="23">
        <f>'[2]2026年度男装数据汇总分析--俄罗斯'!A77</f>
        <v>0</v>
      </c>
      <c r="B77" s="1" t="str">
        <f>'[2]2026年度男装数据汇总分析--俄罗斯'!B77</f>
        <v>利润率</v>
      </c>
      <c r="C77" s="13" t="e">
        <f>'[2]2026年度男装数据汇总分析--俄罗斯'!C77</f>
        <v>#DIV/0!</v>
      </c>
      <c r="D77" s="13" t="e">
        <f>'[2]2026年度男装数据汇总分析--俄罗斯'!D77</f>
        <v>#DIV/0!</v>
      </c>
      <c r="E77" s="13" t="e">
        <f>'[2]2026年度男装数据汇总分析--俄罗斯'!E77</f>
        <v>#DIV/0!</v>
      </c>
      <c r="F77" s="13" t="e">
        <f>'[2]2026年度男装数据汇总分析--俄罗斯'!F77</f>
        <v>#DIV/0!</v>
      </c>
      <c r="G77" s="13" t="e">
        <f>'[2]2026年度男装数据汇总分析--俄罗斯'!G77</f>
        <v>#DIV/0!</v>
      </c>
      <c r="H77" s="13" t="e">
        <f>'[2]2026年度男装数据汇总分析--俄罗斯'!H77</f>
        <v>#DIV/0!</v>
      </c>
      <c r="I77" s="13" t="e">
        <f>'[2]2026年度男装数据汇总分析--俄罗斯'!I77</f>
        <v>#DIV/0!</v>
      </c>
      <c r="J77" s="13" t="e">
        <f>'[2]2026年度男装数据汇总分析--俄罗斯'!J77</f>
        <v>#DIV/0!</v>
      </c>
      <c r="K77" s="13" t="e">
        <f>'[2]2026年度男装数据汇总分析--俄罗斯'!K77</f>
        <v>#DIV/0!</v>
      </c>
      <c r="L77" s="13" t="e">
        <f>'[2]2026年度男装数据汇总分析--俄罗斯'!L77</f>
        <v>#DIV/0!</v>
      </c>
      <c r="M77" s="13" t="e">
        <f>'[2]2026年度男装数据汇总分析--俄罗斯'!M77</f>
        <v>#DIV/0!</v>
      </c>
      <c r="N77" s="13" t="e">
        <f>'[2]2026年度男装数据汇总分析--俄罗斯'!N77</f>
        <v>#DIV/0!</v>
      </c>
      <c r="O77" s="13" t="e">
        <f>'[2]2026年度男装数据汇总分析--俄罗斯'!O77</f>
        <v>#DIV/0!</v>
      </c>
    </row>
    <row r="78" s="37" customFormat="1" spans="1:15">
      <c r="A78" s="7" t="str">
        <f>'[2]2026年度男装数据汇总分析--俄罗斯'!A78</f>
        <v>新店3</v>
      </c>
      <c r="B78" s="1" t="str">
        <f>'[2]2026年度男装数据汇总分析--俄罗斯'!B78</f>
        <v>实际利润（人民币）</v>
      </c>
      <c r="C78" s="1">
        <f>'[2]2026年度男装数据汇总分析--俄罗斯'!C78</f>
        <v>0</v>
      </c>
      <c r="D78" s="1">
        <f>'[2]2026年度男装数据汇总分析--俄罗斯'!D78</f>
        <v>0</v>
      </c>
      <c r="E78" s="1">
        <f>'[2]2026年度男装数据汇总分析--俄罗斯'!E78</f>
        <v>0</v>
      </c>
      <c r="F78" s="1">
        <f>'[2]2026年度男装数据汇总分析--俄罗斯'!F78</f>
        <v>0</v>
      </c>
      <c r="G78" s="1">
        <f>'[2]2026年度男装数据汇总分析--俄罗斯'!G78</f>
        <v>0</v>
      </c>
      <c r="H78" s="1">
        <f>'[2]2026年度男装数据汇总分析--俄罗斯'!H78</f>
        <v>0</v>
      </c>
      <c r="I78" s="1">
        <f>'[2]2026年度男装数据汇总分析--俄罗斯'!I78</f>
        <v>0</v>
      </c>
      <c r="J78" s="1">
        <f>'[2]2026年度男装数据汇总分析--俄罗斯'!J78</f>
        <v>0</v>
      </c>
      <c r="K78" s="1">
        <f>'[2]2026年度男装数据汇总分析--俄罗斯'!K78</f>
        <v>0</v>
      </c>
      <c r="L78" s="1">
        <f>'[2]2026年度男装数据汇总分析--俄罗斯'!L78</f>
        <v>0</v>
      </c>
      <c r="M78" s="1">
        <f>'[2]2026年度男装数据汇总分析--俄罗斯'!M78</f>
        <v>0</v>
      </c>
      <c r="N78" s="1">
        <f>'[2]2026年度男装数据汇总分析--俄罗斯'!N78</f>
        <v>0</v>
      </c>
      <c r="O78" s="1">
        <f>'[2]2026年度男装数据汇总分析--俄罗斯'!O78</f>
        <v>0</v>
      </c>
    </row>
    <row r="79" s="37" customFormat="1" spans="1:15">
      <c r="A79" s="10">
        <f>'[2]2026年度男装数据汇总分析--俄罗斯'!A79</f>
        <v>0</v>
      </c>
      <c r="B79" s="1" t="str">
        <f>'[2]2026年度男装数据汇总分析--俄罗斯'!B79</f>
        <v>销量完成</v>
      </c>
      <c r="C79" s="1">
        <f>'[2]2026年度男装数据汇总分析--俄罗斯'!C79</f>
        <v>0</v>
      </c>
      <c r="D79" s="1">
        <f>'[2]2026年度男装数据汇总分析--俄罗斯'!D79</f>
        <v>0</v>
      </c>
      <c r="E79" s="1">
        <f>'[2]2026年度男装数据汇总分析--俄罗斯'!E79</f>
        <v>0</v>
      </c>
      <c r="F79" s="1">
        <f>'[2]2026年度男装数据汇总分析--俄罗斯'!F79</f>
        <v>0</v>
      </c>
      <c r="G79" s="1">
        <f>'[2]2026年度男装数据汇总分析--俄罗斯'!G79</f>
        <v>0</v>
      </c>
      <c r="H79" s="1">
        <f>'[2]2026年度男装数据汇总分析--俄罗斯'!H79</f>
        <v>0</v>
      </c>
      <c r="I79" s="1">
        <f>'[2]2026年度男装数据汇总分析--俄罗斯'!I79</f>
        <v>0</v>
      </c>
      <c r="J79" s="1">
        <f>'[2]2026年度男装数据汇总分析--俄罗斯'!J79</f>
        <v>0</v>
      </c>
      <c r="K79" s="1">
        <f>'[2]2026年度男装数据汇总分析--俄罗斯'!K79</f>
        <v>0</v>
      </c>
      <c r="L79" s="1">
        <f>'[2]2026年度男装数据汇总分析--俄罗斯'!L79</f>
        <v>0</v>
      </c>
      <c r="M79" s="1">
        <f>'[2]2026年度男装数据汇总分析--俄罗斯'!M79</f>
        <v>0</v>
      </c>
      <c r="N79" s="1">
        <f>'[2]2026年度男装数据汇总分析--俄罗斯'!N79</f>
        <v>0</v>
      </c>
      <c r="O79" s="1">
        <f>'[2]2026年度男装数据汇总分析--俄罗斯'!O79</f>
        <v>0</v>
      </c>
    </row>
    <row r="80" s="37" customFormat="1" spans="1:15">
      <c r="A80" s="10">
        <f>'[2]2026年度男装数据汇总分析--俄罗斯'!A80</f>
        <v>0</v>
      </c>
      <c r="B80" s="1" t="str">
        <f>'[2]2026年度男装数据汇总分析--俄罗斯'!B80</f>
        <v>实销完成</v>
      </c>
      <c r="C80" s="1">
        <f>'[2]2026年度男装数据汇总分析--俄罗斯'!C80</f>
        <v>0</v>
      </c>
      <c r="D80" s="1">
        <f>'[2]2026年度男装数据汇总分析--俄罗斯'!D80</f>
        <v>0</v>
      </c>
      <c r="E80" s="1">
        <f>'[2]2026年度男装数据汇总分析--俄罗斯'!E80</f>
        <v>0</v>
      </c>
      <c r="F80" s="1">
        <f>'[2]2026年度男装数据汇总分析--俄罗斯'!F80</f>
        <v>0</v>
      </c>
      <c r="G80" s="1">
        <f>'[2]2026年度男装数据汇总分析--俄罗斯'!G80</f>
        <v>0</v>
      </c>
      <c r="H80" s="1">
        <f>'[2]2026年度男装数据汇总分析--俄罗斯'!H80</f>
        <v>0</v>
      </c>
      <c r="I80" s="1">
        <f>'[2]2026年度男装数据汇总分析--俄罗斯'!I80</f>
        <v>0</v>
      </c>
      <c r="J80" s="1">
        <f>'[2]2026年度男装数据汇总分析--俄罗斯'!J80</f>
        <v>0</v>
      </c>
      <c r="K80" s="1">
        <f>'[2]2026年度男装数据汇总分析--俄罗斯'!K80</f>
        <v>0</v>
      </c>
      <c r="L80" s="1">
        <f>'[2]2026年度男装数据汇总分析--俄罗斯'!L80</f>
        <v>0</v>
      </c>
      <c r="M80" s="1">
        <f>'[2]2026年度男装数据汇总分析--俄罗斯'!M80</f>
        <v>0</v>
      </c>
      <c r="N80" s="1">
        <f>'[2]2026年度男装数据汇总分析--俄罗斯'!N80</f>
        <v>0</v>
      </c>
      <c r="O80" s="1">
        <f>'[2]2026年度男装数据汇总分析--俄罗斯'!O80</f>
        <v>0</v>
      </c>
    </row>
    <row r="81" s="37" customFormat="1" spans="1:15">
      <c r="A81" s="10">
        <f>'[2]2026年度男装数据汇总分析--俄罗斯'!A81</f>
        <v>0</v>
      </c>
      <c r="B81" s="1" t="str">
        <f>'[2]2026年度男装数据汇总分析--俄罗斯'!B81</f>
        <v>GMV完成</v>
      </c>
      <c r="C81" s="1">
        <f>'[2]2026年度男装数据汇总分析--俄罗斯'!C81</f>
        <v>0</v>
      </c>
      <c r="D81" s="1">
        <f>'[2]2026年度男装数据汇总分析--俄罗斯'!D81</f>
        <v>0</v>
      </c>
      <c r="E81" s="1">
        <f>'[2]2026年度男装数据汇总分析--俄罗斯'!E81</f>
        <v>0</v>
      </c>
      <c r="F81" s="1">
        <f>'[2]2026年度男装数据汇总分析--俄罗斯'!F81</f>
        <v>0</v>
      </c>
      <c r="G81" s="1">
        <f>'[2]2026年度男装数据汇总分析--俄罗斯'!G81</f>
        <v>0</v>
      </c>
      <c r="H81" s="1">
        <f>'[2]2026年度男装数据汇总分析--俄罗斯'!H81</f>
        <v>0</v>
      </c>
      <c r="I81" s="1">
        <f>'[2]2026年度男装数据汇总分析--俄罗斯'!I81</f>
        <v>0</v>
      </c>
      <c r="J81" s="1">
        <f>'[2]2026年度男装数据汇总分析--俄罗斯'!J81</f>
        <v>0</v>
      </c>
      <c r="K81" s="1">
        <f>'[2]2026年度男装数据汇总分析--俄罗斯'!K81</f>
        <v>0</v>
      </c>
      <c r="L81" s="1">
        <f>'[2]2026年度男装数据汇总分析--俄罗斯'!L81</f>
        <v>0</v>
      </c>
      <c r="M81" s="1">
        <f>'[2]2026年度男装数据汇总分析--俄罗斯'!M81</f>
        <v>0</v>
      </c>
      <c r="N81" s="1">
        <f>'[2]2026年度男装数据汇总分析--俄罗斯'!N81</f>
        <v>0</v>
      </c>
      <c r="O81" s="1">
        <f>'[2]2026年度男装数据汇总分析--俄罗斯'!O81</f>
        <v>0</v>
      </c>
    </row>
    <row r="82" s="37" customFormat="1" spans="1:15">
      <c r="A82" s="10">
        <f>'[2]2026年度男装数据汇总分析--俄罗斯'!A82</f>
        <v>0</v>
      </c>
      <c r="B82" s="1" t="str">
        <f>'[2]2026年度男装数据汇总分析--俄罗斯'!B82</f>
        <v>GSV完成</v>
      </c>
      <c r="C82" s="1">
        <f>'[2]2026年度男装数据汇总分析--俄罗斯'!C82</f>
        <v>0</v>
      </c>
      <c r="D82" s="1">
        <f>'[2]2026年度男装数据汇总分析--俄罗斯'!D82</f>
        <v>0</v>
      </c>
      <c r="E82" s="1">
        <f>'[2]2026年度男装数据汇总分析--俄罗斯'!E82</f>
        <v>0</v>
      </c>
      <c r="F82" s="1">
        <f>'[2]2026年度男装数据汇总分析--俄罗斯'!F82</f>
        <v>0</v>
      </c>
      <c r="G82" s="1">
        <f>'[2]2026年度男装数据汇总分析--俄罗斯'!G82</f>
        <v>0</v>
      </c>
      <c r="H82" s="1">
        <f>'[2]2026年度男装数据汇总分析--俄罗斯'!H82</f>
        <v>0</v>
      </c>
      <c r="I82" s="1">
        <f>'[2]2026年度男装数据汇总分析--俄罗斯'!I82</f>
        <v>0</v>
      </c>
      <c r="J82" s="1">
        <f>'[2]2026年度男装数据汇总分析--俄罗斯'!J82</f>
        <v>0</v>
      </c>
      <c r="K82" s="1">
        <f>'[2]2026年度男装数据汇总分析--俄罗斯'!K82</f>
        <v>0</v>
      </c>
      <c r="L82" s="1">
        <f>'[2]2026年度男装数据汇总分析--俄罗斯'!L82</f>
        <v>0</v>
      </c>
      <c r="M82" s="1">
        <f>'[2]2026年度男装数据汇总分析--俄罗斯'!M82</f>
        <v>0</v>
      </c>
      <c r="N82" s="1">
        <f>'[2]2026年度男装数据汇总分析--俄罗斯'!N82</f>
        <v>0</v>
      </c>
      <c r="O82" s="1">
        <f>'[2]2026年度男装数据汇总分析--俄罗斯'!O82</f>
        <v>0</v>
      </c>
    </row>
    <row r="83" s="37" customFormat="1" spans="1:15">
      <c r="A83" s="10">
        <f>'[2]2026年度男装数据汇总分析--俄罗斯'!A83</f>
        <v>0</v>
      </c>
      <c r="B83" s="1" t="str">
        <f>'[2]2026年度男装数据汇总分析--俄罗斯'!B83</f>
        <v>退款率</v>
      </c>
      <c r="C83" s="13" t="e">
        <f>'[2]2026年度男装数据汇总分析--俄罗斯'!C83</f>
        <v>#DIV/0!</v>
      </c>
      <c r="D83" s="13" t="e">
        <f>'[2]2026年度男装数据汇总分析--俄罗斯'!D83</f>
        <v>#DIV/0!</v>
      </c>
      <c r="E83" s="13" t="e">
        <f>'[2]2026年度男装数据汇总分析--俄罗斯'!E83</f>
        <v>#DIV/0!</v>
      </c>
      <c r="F83" s="13" t="e">
        <f>'[2]2026年度男装数据汇总分析--俄罗斯'!F83</f>
        <v>#DIV/0!</v>
      </c>
      <c r="G83" s="13" t="e">
        <f>'[2]2026年度男装数据汇总分析--俄罗斯'!G83</f>
        <v>#DIV/0!</v>
      </c>
      <c r="H83" s="13" t="e">
        <f>'[2]2026年度男装数据汇总分析--俄罗斯'!H83</f>
        <v>#DIV/0!</v>
      </c>
      <c r="I83" s="13" t="e">
        <f>'[2]2026年度男装数据汇总分析--俄罗斯'!I83</f>
        <v>#DIV/0!</v>
      </c>
      <c r="J83" s="13" t="e">
        <f>'[2]2026年度男装数据汇总分析--俄罗斯'!J83</f>
        <v>#DIV/0!</v>
      </c>
      <c r="K83" s="13" t="e">
        <f>'[2]2026年度男装数据汇总分析--俄罗斯'!K83</f>
        <v>#DIV/0!</v>
      </c>
      <c r="L83" s="13" t="e">
        <f>'[2]2026年度男装数据汇总分析--俄罗斯'!L83</f>
        <v>#DIV/0!</v>
      </c>
      <c r="M83" s="13" t="e">
        <f>'[2]2026年度男装数据汇总分析--俄罗斯'!M83</f>
        <v>#DIV/0!</v>
      </c>
      <c r="N83" s="13" t="e">
        <f>'[2]2026年度男装数据汇总分析--俄罗斯'!N83</f>
        <v>#DIV/0!</v>
      </c>
      <c r="O83" s="13" t="e">
        <f>'[2]2026年度男装数据汇总分析--俄罗斯'!O83</f>
        <v>#DIV/0!</v>
      </c>
    </row>
    <row r="84" s="37" customFormat="1" spans="1:15">
      <c r="A84" s="10">
        <f>'[2]2026年度男装数据汇总分析--俄罗斯'!A84</f>
        <v>0</v>
      </c>
      <c r="B84" s="1" t="str">
        <f>'[2]2026年度男装数据汇总分析--俄罗斯'!B84</f>
        <v>退货率</v>
      </c>
      <c r="C84" s="13" t="e">
        <f>'[2]2026年度男装数据汇总分析--俄罗斯'!C84</f>
        <v>#DIV/0!</v>
      </c>
      <c r="D84" s="13" t="e">
        <f>'[2]2026年度男装数据汇总分析--俄罗斯'!D84</f>
        <v>#DIV/0!</v>
      </c>
      <c r="E84" s="13" t="e">
        <f>'[2]2026年度男装数据汇总分析--俄罗斯'!E84</f>
        <v>#DIV/0!</v>
      </c>
      <c r="F84" s="13" t="e">
        <f>'[2]2026年度男装数据汇总分析--俄罗斯'!F84</f>
        <v>#DIV/0!</v>
      </c>
      <c r="G84" s="13" t="e">
        <f>'[2]2026年度男装数据汇总分析--俄罗斯'!G84</f>
        <v>#DIV/0!</v>
      </c>
      <c r="H84" s="13" t="e">
        <f>'[2]2026年度男装数据汇总分析--俄罗斯'!H84</f>
        <v>#DIV/0!</v>
      </c>
      <c r="I84" s="13" t="e">
        <f>'[2]2026年度男装数据汇总分析--俄罗斯'!I84</f>
        <v>#DIV/0!</v>
      </c>
      <c r="J84" s="13" t="e">
        <f>'[2]2026年度男装数据汇总分析--俄罗斯'!J84</f>
        <v>#DIV/0!</v>
      </c>
      <c r="K84" s="13" t="e">
        <f>'[2]2026年度男装数据汇总分析--俄罗斯'!K84</f>
        <v>#DIV/0!</v>
      </c>
      <c r="L84" s="13" t="e">
        <f>'[2]2026年度男装数据汇总分析--俄罗斯'!L84</f>
        <v>#DIV/0!</v>
      </c>
      <c r="M84" s="13" t="e">
        <f>'[2]2026年度男装数据汇总分析--俄罗斯'!M84</f>
        <v>#DIV/0!</v>
      </c>
      <c r="N84" s="13" t="e">
        <f>'[2]2026年度男装数据汇总分析--俄罗斯'!N84</f>
        <v>#DIV/0!</v>
      </c>
      <c r="O84" s="13" t="e">
        <f>'[2]2026年度男装数据汇总分析--俄罗斯'!O84</f>
        <v>#DIV/0!</v>
      </c>
    </row>
    <row r="85" s="37" customFormat="1" spans="1:15">
      <c r="A85" s="23">
        <f>'[2]2026年度男装数据汇总分析--俄罗斯'!A85</f>
        <v>0</v>
      </c>
      <c r="B85" s="1" t="str">
        <f>'[2]2026年度男装数据汇总分析--俄罗斯'!B85</f>
        <v>利润率</v>
      </c>
      <c r="C85" s="13" t="e">
        <f>'[2]2026年度男装数据汇总分析--俄罗斯'!C85</f>
        <v>#DIV/0!</v>
      </c>
      <c r="D85" s="13" t="e">
        <f>'[2]2026年度男装数据汇总分析--俄罗斯'!D85</f>
        <v>#DIV/0!</v>
      </c>
      <c r="E85" s="13" t="e">
        <f>'[2]2026年度男装数据汇总分析--俄罗斯'!E85</f>
        <v>#DIV/0!</v>
      </c>
      <c r="F85" s="13" t="e">
        <f>'[2]2026年度男装数据汇总分析--俄罗斯'!F85</f>
        <v>#DIV/0!</v>
      </c>
      <c r="G85" s="13" t="e">
        <f>'[2]2026年度男装数据汇总分析--俄罗斯'!G85</f>
        <v>#DIV/0!</v>
      </c>
      <c r="H85" s="13" t="e">
        <f>'[2]2026年度男装数据汇总分析--俄罗斯'!H85</f>
        <v>#DIV/0!</v>
      </c>
      <c r="I85" s="13" t="e">
        <f>'[2]2026年度男装数据汇总分析--俄罗斯'!I85</f>
        <v>#DIV/0!</v>
      </c>
      <c r="J85" s="13" t="e">
        <f>'[2]2026年度男装数据汇总分析--俄罗斯'!J85</f>
        <v>#DIV/0!</v>
      </c>
      <c r="K85" s="13" t="e">
        <f>'[2]2026年度男装数据汇总分析--俄罗斯'!K85</f>
        <v>#DIV/0!</v>
      </c>
      <c r="L85" s="13" t="e">
        <f>'[2]2026年度男装数据汇总分析--俄罗斯'!L85</f>
        <v>#DIV/0!</v>
      </c>
      <c r="M85" s="13" t="e">
        <f>'[2]2026年度男装数据汇总分析--俄罗斯'!M85</f>
        <v>#DIV/0!</v>
      </c>
      <c r="N85" s="13" t="e">
        <f>'[2]2026年度男装数据汇总分析--俄罗斯'!N85</f>
        <v>#DIV/0!</v>
      </c>
      <c r="O85" s="13" t="e">
        <f>'[2]2026年度男装数据汇总分析--俄罗斯'!O85</f>
        <v>#DIV/0!</v>
      </c>
    </row>
    <row r="86" s="37" customFormat="1" spans="1:15">
      <c r="A86" s="7" t="str">
        <f>'[2]2026年度男装数据汇总分析--俄罗斯'!A86</f>
        <v>新店4</v>
      </c>
      <c r="B86" s="1" t="str">
        <f>'[2]2026年度男装数据汇总分析--俄罗斯'!B86</f>
        <v>实际利润（人民币）</v>
      </c>
      <c r="C86" s="1">
        <f>'[2]2026年度男装数据汇总分析--俄罗斯'!C86</f>
        <v>0</v>
      </c>
      <c r="D86" s="1">
        <f>'[2]2026年度男装数据汇总分析--俄罗斯'!D86</f>
        <v>0</v>
      </c>
      <c r="E86" s="1">
        <f>'[2]2026年度男装数据汇总分析--俄罗斯'!E86</f>
        <v>0</v>
      </c>
      <c r="F86" s="1">
        <f>'[2]2026年度男装数据汇总分析--俄罗斯'!F86</f>
        <v>0</v>
      </c>
      <c r="G86" s="1">
        <f>'[2]2026年度男装数据汇总分析--俄罗斯'!G86</f>
        <v>0</v>
      </c>
      <c r="H86" s="1">
        <f>'[2]2026年度男装数据汇总分析--俄罗斯'!H86</f>
        <v>0</v>
      </c>
      <c r="I86" s="1">
        <f>'[2]2026年度男装数据汇总分析--俄罗斯'!I86</f>
        <v>0</v>
      </c>
      <c r="J86" s="1">
        <f>'[2]2026年度男装数据汇总分析--俄罗斯'!J86</f>
        <v>0</v>
      </c>
      <c r="K86" s="1">
        <f>'[2]2026年度男装数据汇总分析--俄罗斯'!K86</f>
        <v>0</v>
      </c>
      <c r="L86" s="1">
        <f>'[2]2026年度男装数据汇总分析--俄罗斯'!L86</f>
        <v>0</v>
      </c>
      <c r="M86" s="1">
        <f>'[2]2026年度男装数据汇总分析--俄罗斯'!M86</f>
        <v>0</v>
      </c>
      <c r="N86" s="1">
        <f>'[2]2026年度男装数据汇总分析--俄罗斯'!N86</f>
        <v>0</v>
      </c>
      <c r="O86" s="1">
        <f>'[2]2026年度男装数据汇总分析--俄罗斯'!O86</f>
        <v>0</v>
      </c>
    </row>
    <row r="87" s="37" customFormat="1" spans="1:15">
      <c r="A87" s="10">
        <f>'[2]2026年度男装数据汇总分析--俄罗斯'!A87</f>
        <v>0</v>
      </c>
      <c r="B87" s="1" t="str">
        <f>'[2]2026年度男装数据汇总分析--俄罗斯'!B87</f>
        <v>销量完成</v>
      </c>
      <c r="C87" s="1">
        <f>'[2]2026年度男装数据汇总分析--俄罗斯'!C87</f>
        <v>0</v>
      </c>
      <c r="D87" s="1">
        <f>'[2]2026年度男装数据汇总分析--俄罗斯'!D87</f>
        <v>0</v>
      </c>
      <c r="E87" s="1">
        <f>'[2]2026年度男装数据汇总分析--俄罗斯'!E87</f>
        <v>0</v>
      </c>
      <c r="F87" s="1">
        <f>'[2]2026年度男装数据汇总分析--俄罗斯'!F87</f>
        <v>0</v>
      </c>
      <c r="G87" s="1">
        <f>'[2]2026年度男装数据汇总分析--俄罗斯'!G87</f>
        <v>0</v>
      </c>
      <c r="H87" s="1">
        <f>'[2]2026年度男装数据汇总分析--俄罗斯'!H87</f>
        <v>0</v>
      </c>
      <c r="I87" s="1">
        <f>'[2]2026年度男装数据汇总分析--俄罗斯'!I87</f>
        <v>0</v>
      </c>
      <c r="J87" s="1">
        <f>'[2]2026年度男装数据汇总分析--俄罗斯'!J87</f>
        <v>0</v>
      </c>
      <c r="K87" s="1">
        <f>'[2]2026年度男装数据汇总分析--俄罗斯'!K87</f>
        <v>0</v>
      </c>
      <c r="L87" s="1">
        <f>'[2]2026年度男装数据汇总分析--俄罗斯'!L87</f>
        <v>0</v>
      </c>
      <c r="M87" s="1">
        <f>'[2]2026年度男装数据汇总分析--俄罗斯'!M87</f>
        <v>0</v>
      </c>
      <c r="N87" s="1">
        <f>'[2]2026年度男装数据汇总分析--俄罗斯'!N87</f>
        <v>0</v>
      </c>
      <c r="O87" s="1">
        <f>'[2]2026年度男装数据汇总分析--俄罗斯'!O87</f>
        <v>0</v>
      </c>
    </row>
    <row r="88" s="37" customFormat="1" spans="1:15">
      <c r="A88" s="10">
        <f>'[2]2026年度男装数据汇总分析--俄罗斯'!A88</f>
        <v>0</v>
      </c>
      <c r="B88" s="1" t="str">
        <f>'[2]2026年度男装数据汇总分析--俄罗斯'!B88</f>
        <v>实销完成</v>
      </c>
      <c r="C88" s="1">
        <f>'[2]2026年度男装数据汇总分析--俄罗斯'!C88</f>
        <v>0</v>
      </c>
      <c r="D88" s="1">
        <f>'[2]2026年度男装数据汇总分析--俄罗斯'!D88</f>
        <v>0</v>
      </c>
      <c r="E88" s="1">
        <f>'[2]2026年度男装数据汇总分析--俄罗斯'!E88</f>
        <v>0</v>
      </c>
      <c r="F88" s="1">
        <f>'[2]2026年度男装数据汇总分析--俄罗斯'!F88</f>
        <v>0</v>
      </c>
      <c r="G88" s="1">
        <f>'[2]2026年度男装数据汇总分析--俄罗斯'!G88</f>
        <v>0</v>
      </c>
      <c r="H88" s="1">
        <f>'[2]2026年度男装数据汇总分析--俄罗斯'!H88</f>
        <v>0</v>
      </c>
      <c r="I88" s="1">
        <f>'[2]2026年度男装数据汇总分析--俄罗斯'!I88</f>
        <v>0</v>
      </c>
      <c r="J88" s="1">
        <f>'[2]2026年度男装数据汇总分析--俄罗斯'!J88</f>
        <v>0</v>
      </c>
      <c r="K88" s="1">
        <f>'[2]2026年度男装数据汇总分析--俄罗斯'!K88</f>
        <v>0</v>
      </c>
      <c r="L88" s="1">
        <f>'[2]2026年度男装数据汇总分析--俄罗斯'!L88</f>
        <v>0</v>
      </c>
      <c r="M88" s="1">
        <f>'[2]2026年度男装数据汇总分析--俄罗斯'!M88</f>
        <v>0</v>
      </c>
      <c r="N88" s="1">
        <f>'[2]2026年度男装数据汇总分析--俄罗斯'!N88</f>
        <v>0</v>
      </c>
      <c r="O88" s="1">
        <f>'[2]2026年度男装数据汇总分析--俄罗斯'!O88</f>
        <v>0</v>
      </c>
    </row>
    <row r="89" s="37" customFormat="1" spans="1:15">
      <c r="A89" s="10">
        <f>'[2]2026年度男装数据汇总分析--俄罗斯'!A89</f>
        <v>0</v>
      </c>
      <c r="B89" s="1" t="str">
        <f>'[2]2026年度男装数据汇总分析--俄罗斯'!B89</f>
        <v>GMV完成</v>
      </c>
      <c r="C89" s="1">
        <f>'[2]2026年度男装数据汇总分析--俄罗斯'!C89</f>
        <v>0</v>
      </c>
      <c r="D89" s="1">
        <f>'[2]2026年度男装数据汇总分析--俄罗斯'!D89</f>
        <v>0</v>
      </c>
      <c r="E89" s="1">
        <f>'[2]2026年度男装数据汇总分析--俄罗斯'!E89</f>
        <v>0</v>
      </c>
      <c r="F89" s="1">
        <f>'[2]2026年度男装数据汇总分析--俄罗斯'!F89</f>
        <v>0</v>
      </c>
      <c r="G89" s="1">
        <f>'[2]2026年度男装数据汇总分析--俄罗斯'!G89</f>
        <v>0</v>
      </c>
      <c r="H89" s="1">
        <f>'[2]2026年度男装数据汇总分析--俄罗斯'!H89</f>
        <v>0</v>
      </c>
      <c r="I89" s="1">
        <f>'[2]2026年度男装数据汇总分析--俄罗斯'!I89</f>
        <v>0</v>
      </c>
      <c r="J89" s="1">
        <f>'[2]2026年度男装数据汇总分析--俄罗斯'!J89</f>
        <v>0</v>
      </c>
      <c r="K89" s="1">
        <f>'[2]2026年度男装数据汇总分析--俄罗斯'!K89</f>
        <v>0</v>
      </c>
      <c r="L89" s="1">
        <f>'[2]2026年度男装数据汇总分析--俄罗斯'!L89</f>
        <v>0</v>
      </c>
      <c r="M89" s="1">
        <f>'[2]2026年度男装数据汇总分析--俄罗斯'!M89</f>
        <v>0</v>
      </c>
      <c r="N89" s="1">
        <f>'[2]2026年度男装数据汇总分析--俄罗斯'!N89</f>
        <v>0</v>
      </c>
      <c r="O89" s="1">
        <f>'[2]2026年度男装数据汇总分析--俄罗斯'!O89</f>
        <v>0</v>
      </c>
    </row>
    <row r="90" s="37" customFormat="1" spans="1:15">
      <c r="A90" s="10">
        <f>'[2]2026年度男装数据汇总分析--俄罗斯'!A90</f>
        <v>0</v>
      </c>
      <c r="B90" s="1" t="str">
        <f>'[2]2026年度男装数据汇总分析--俄罗斯'!B90</f>
        <v>GSV完成</v>
      </c>
      <c r="C90" s="1">
        <f>'[2]2026年度男装数据汇总分析--俄罗斯'!C90</f>
        <v>0</v>
      </c>
      <c r="D90" s="1">
        <f>'[2]2026年度男装数据汇总分析--俄罗斯'!D90</f>
        <v>0</v>
      </c>
      <c r="E90" s="1">
        <f>'[2]2026年度男装数据汇总分析--俄罗斯'!E90</f>
        <v>0</v>
      </c>
      <c r="F90" s="1">
        <f>'[2]2026年度男装数据汇总分析--俄罗斯'!F90</f>
        <v>0</v>
      </c>
      <c r="G90" s="1">
        <f>'[2]2026年度男装数据汇总分析--俄罗斯'!G90</f>
        <v>0</v>
      </c>
      <c r="H90" s="1">
        <f>'[2]2026年度男装数据汇总分析--俄罗斯'!H90</f>
        <v>0</v>
      </c>
      <c r="I90" s="1">
        <f>'[2]2026年度男装数据汇总分析--俄罗斯'!I90</f>
        <v>0</v>
      </c>
      <c r="J90" s="1">
        <f>'[2]2026年度男装数据汇总分析--俄罗斯'!J90</f>
        <v>0</v>
      </c>
      <c r="K90" s="1">
        <f>'[2]2026年度男装数据汇总分析--俄罗斯'!K90</f>
        <v>0</v>
      </c>
      <c r="L90" s="1">
        <f>'[2]2026年度男装数据汇总分析--俄罗斯'!L90</f>
        <v>0</v>
      </c>
      <c r="M90" s="1">
        <f>'[2]2026年度男装数据汇总分析--俄罗斯'!M90</f>
        <v>0</v>
      </c>
      <c r="N90" s="1">
        <f>'[2]2026年度男装数据汇总分析--俄罗斯'!N90</f>
        <v>0</v>
      </c>
      <c r="O90" s="1">
        <f>'[2]2026年度男装数据汇总分析--俄罗斯'!O90</f>
        <v>0</v>
      </c>
    </row>
    <row r="91" s="37" customFormat="1" spans="1:15">
      <c r="A91" s="10">
        <f>'[2]2026年度男装数据汇总分析--俄罗斯'!A91</f>
        <v>0</v>
      </c>
      <c r="B91" s="1" t="str">
        <f>'[2]2026年度男装数据汇总分析--俄罗斯'!B91</f>
        <v>退款率</v>
      </c>
      <c r="C91" s="13" t="e">
        <f>'[2]2026年度男装数据汇总分析--俄罗斯'!C91</f>
        <v>#DIV/0!</v>
      </c>
      <c r="D91" s="13" t="e">
        <f>'[2]2026年度男装数据汇总分析--俄罗斯'!D91</f>
        <v>#DIV/0!</v>
      </c>
      <c r="E91" s="13" t="e">
        <f>'[2]2026年度男装数据汇总分析--俄罗斯'!E91</f>
        <v>#DIV/0!</v>
      </c>
      <c r="F91" s="13" t="e">
        <f>'[2]2026年度男装数据汇总分析--俄罗斯'!F91</f>
        <v>#DIV/0!</v>
      </c>
      <c r="G91" s="13" t="e">
        <f>'[2]2026年度男装数据汇总分析--俄罗斯'!G91</f>
        <v>#DIV/0!</v>
      </c>
      <c r="H91" s="13" t="e">
        <f>'[2]2026年度男装数据汇总分析--俄罗斯'!H91</f>
        <v>#DIV/0!</v>
      </c>
      <c r="I91" s="13" t="e">
        <f>'[2]2026年度男装数据汇总分析--俄罗斯'!I91</f>
        <v>#DIV/0!</v>
      </c>
      <c r="J91" s="13" t="e">
        <f>'[2]2026年度男装数据汇总分析--俄罗斯'!J91</f>
        <v>#DIV/0!</v>
      </c>
      <c r="K91" s="13" t="e">
        <f>'[2]2026年度男装数据汇总分析--俄罗斯'!K91</f>
        <v>#DIV/0!</v>
      </c>
      <c r="L91" s="13" t="e">
        <f>'[2]2026年度男装数据汇总分析--俄罗斯'!L91</f>
        <v>#DIV/0!</v>
      </c>
      <c r="M91" s="13" t="e">
        <f>'[2]2026年度男装数据汇总分析--俄罗斯'!M91</f>
        <v>#DIV/0!</v>
      </c>
      <c r="N91" s="13" t="e">
        <f>'[2]2026年度男装数据汇总分析--俄罗斯'!N91</f>
        <v>#DIV/0!</v>
      </c>
      <c r="O91" s="13" t="e">
        <f>'[2]2026年度男装数据汇总分析--俄罗斯'!O91</f>
        <v>#DIV/0!</v>
      </c>
    </row>
    <row r="92" s="37" customFormat="1" spans="1:15">
      <c r="A92" s="10">
        <f>'[2]2026年度男装数据汇总分析--俄罗斯'!A92</f>
        <v>0</v>
      </c>
      <c r="B92" s="1" t="str">
        <f>'[2]2026年度男装数据汇总分析--俄罗斯'!B92</f>
        <v>退货率</v>
      </c>
      <c r="C92" s="13" t="e">
        <f>'[2]2026年度男装数据汇总分析--俄罗斯'!C92</f>
        <v>#DIV/0!</v>
      </c>
      <c r="D92" s="13" t="e">
        <f>'[2]2026年度男装数据汇总分析--俄罗斯'!D92</f>
        <v>#DIV/0!</v>
      </c>
      <c r="E92" s="13" t="e">
        <f>'[2]2026年度男装数据汇总分析--俄罗斯'!E92</f>
        <v>#DIV/0!</v>
      </c>
      <c r="F92" s="13" t="e">
        <f>'[2]2026年度男装数据汇总分析--俄罗斯'!F92</f>
        <v>#DIV/0!</v>
      </c>
      <c r="G92" s="13" t="e">
        <f>'[2]2026年度男装数据汇总分析--俄罗斯'!G92</f>
        <v>#DIV/0!</v>
      </c>
      <c r="H92" s="13" t="e">
        <f>'[2]2026年度男装数据汇总分析--俄罗斯'!H92</f>
        <v>#DIV/0!</v>
      </c>
      <c r="I92" s="13" t="e">
        <f>'[2]2026年度男装数据汇总分析--俄罗斯'!I92</f>
        <v>#DIV/0!</v>
      </c>
      <c r="J92" s="13" t="e">
        <f>'[2]2026年度男装数据汇总分析--俄罗斯'!J92</f>
        <v>#DIV/0!</v>
      </c>
      <c r="K92" s="13" t="e">
        <f>'[2]2026年度男装数据汇总分析--俄罗斯'!K92</f>
        <v>#DIV/0!</v>
      </c>
      <c r="L92" s="13" t="e">
        <f>'[2]2026年度男装数据汇总分析--俄罗斯'!L92</f>
        <v>#DIV/0!</v>
      </c>
      <c r="M92" s="13" t="e">
        <f>'[2]2026年度男装数据汇总分析--俄罗斯'!M92</f>
        <v>#DIV/0!</v>
      </c>
      <c r="N92" s="13" t="e">
        <f>'[2]2026年度男装数据汇总分析--俄罗斯'!N92</f>
        <v>#DIV/0!</v>
      </c>
      <c r="O92" s="13" t="e">
        <f>'[2]2026年度男装数据汇总分析--俄罗斯'!O92</f>
        <v>#DIV/0!</v>
      </c>
    </row>
    <row r="93" s="37" customFormat="1" spans="1:15">
      <c r="A93" s="23">
        <f>'[2]2026年度男装数据汇总分析--俄罗斯'!A93</f>
        <v>0</v>
      </c>
      <c r="B93" s="1" t="str">
        <f>'[2]2026年度男装数据汇总分析--俄罗斯'!B93</f>
        <v>利润率</v>
      </c>
      <c r="C93" s="13" t="e">
        <f>'[2]2026年度男装数据汇总分析--俄罗斯'!C93</f>
        <v>#DIV/0!</v>
      </c>
      <c r="D93" s="13" t="e">
        <f>'[2]2026年度男装数据汇总分析--俄罗斯'!D93</f>
        <v>#DIV/0!</v>
      </c>
      <c r="E93" s="13" t="e">
        <f>'[2]2026年度男装数据汇总分析--俄罗斯'!E93</f>
        <v>#DIV/0!</v>
      </c>
      <c r="F93" s="13" t="e">
        <f>'[2]2026年度男装数据汇总分析--俄罗斯'!F93</f>
        <v>#DIV/0!</v>
      </c>
      <c r="G93" s="13" t="e">
        <f>'[2]2026年度男装数据汇总分析--俄罗斯'!G93</f>
        <v>#DIV/0!</v>
      </c>
      <c r="H93" s="13" t="e">
        <f>'[2]2026年度男装数据汇总分析--俄罗斯'!H93</f>
        <v>#DIV/0!</v>
      </c>
      <c r="I93" s="13" t="e">
        <f>'[2]2026年度男装数据汇总分析--俄罗斯'!I93</f>
        <v>#DIV/0!</v>
      </c>
      <c r="J93" s="13" t="e">
        <f>'[2]2026年度男装数据汇总分析--俄罗斯'!J93</f>
        <v>#DIV/0!</v>
      </c>
      <c r="K93" s="13" t="e">
        <f>'[2]2026年度男装数据汇总分析--俄罗斯'!K93</f>
        <v>#DIV/0!</v>
      </c>
      <c r="L93" s="13" t="e">
        <f>'[2]2026年度男装数据汇总分析--俄罗斯'!L93</f>
        <v>#DIV/0!</v>
      </c>
      <c r="M93" s="13" t="e">
        <f>'[2]2026年度男装数据汇总分析--俄罗斯'!M93</f>
        <v>#DIV/0!</v>
      </c>
      <c r="N93" s="13" t="e">
        <f>'[2]2026年度男装数据汇总分析--俄罗斯'!N93</f>
        <v>#DIV/0!</v>
      </c>
      <c r="O93" s="13" t="e">
        <f>'[2]2026年度男装数据汇总分析--俄罗斯'!O93</f>
        <v>#DIV/0!</v>
      </c>
    </row>
    <row r="94" s="37" customFormat="1" spans="1:15">
      <c r="A94" s="7" t="str">
        <f>'[2]2026年度男装数据汇总分析--俄罗斯'!A94</f>
        <v>新店5</v>
      </c>
      <c r="B94" s="1" t="str">
        <f>'[2]2026年度男装数据汇总分析--俄罗斯'!B94</f>
        <v>实际利润（人民币）</v>
      </c>
      <c r="C94" s="1">
        <f>'[2]2026年度男装数据汇总分析--俄罗斯'!C94</f>
        <v>0</v>
      </c>
      <c r="D94" s="1">
        <f>'[2]2026年度男装数据汇总分析--俄罗斯'!D94</f>
        <v>0</v>
      </c>
      <c r="E94" s="1">
        <f>'[2]2026年度男装数据汇总分析--俄罗斯'!E94</f>
        <v>0</v>
      </c>
      <c r="F94" s="1">
        <f>'[2]2026年度男装数据汇总分析--俄罗斯'!F94</f>
        <v>0</v>
      </c>
      <c r="G94" s="1">
        <f>'[2]2026年度男装数据汇总分析--俄罗斯'!G94</f>
        <v>0</v>
      </c>
      <c r="H94" s="1">
        <f>'[2]2026年度男装数据汇总分析--俄罗斯'!H94</f>
        <v>0</v>
      </c>
      <c r="I94" s="1">
        <f>'[2]2026年度男装数据汇总分析--俄罗斯'!I94</f>
        <v>0</v>
      </c>
      <c r="J94" s="1">
        <f>'[2]2026年度男装数据汇总分析--俄罗斯'!J94</f>
        <v>0</v>
      </c>
      <c r="K94" s="1">
        <f>'[2]2026年度男装数据汇总分析--俄罗斯'!K94</f>
        <v>0</v>
      </c>
      <c r="L94" s="1">
        <f>'[2]2026年度男装数据汇总分析--俄罗斯'!L94</f>
        <v>0</v>
      </c>
      <c r="M94" s="1">
        <f>'[2]2026年度男装数据汇总分析--俄罗斯'!M94</f>
        <v>0</v>
      </c>
      <c r="N94" s="1">
        <f>'[2]2026年度男装数据汇总分析--俄罗斯'!N94</f>
        <v>0</v>
      </c>
      <c r="O94" s="1">
        <f>'[2]2026年度男装数据汇总分析--俄罗斯'!O94</f>
        <v>0</v>
      </c>
    </row>
    <row r="95" s="37" customFormat="1" spans="1:15">
      <c r="A95" s="10">
        <f>'[2]2026年度男装数据汇总分析--俄罗斯'!A95</f>
        <v>0</v>
      </c>
      <c r="B95" s="1" t="str">
        <f>'[2]2026年度男装数据汇总分析--俄罗斯'!B95</f>
        <v>销量完成</v>
      </c>
      <c r="C95" s="1">
        <f>'[2]2026年度男装数据汇总分析--俄罗斯'!C95</f>
        <v>0</v>
      </c>
      <c r="D95" s="1">
        <f>'[2]2026年度男装数据汇总分析--俄罗斯'!D95</f>
        <v>0</v>
      </c>
      <c r="E95" s="1">
        <f>'[2]2026年度男装数据汇总分析--俄罗斯'!E95</f>
        <v>0</v>
      </c>
      <c r="F95" s="1">
        <f>'[2]2026年度男装数据汇总分析--俄罗斯'!F95</f>
        <v>0</v>
      </c>
      <c r="G95" s="1">
        <f>'[2]2026年度男装数据汇总分析--俄罗斯'!G95</f>
        <v>0</v>
      </c>
      <c r="H95" s="1">
        <f>'[2]2026年度男装数据汇总分析--俄罗斯'!H95</f>
        <v>0</v>
      </c>
      <c r="I95" s="1">
        <f>'[2]2026年度男装数据汇总分析--俄罗斯'!I95</f>
        <v>0</v>
      </c>
      <c r="J95" s="1">
        <f>'[2]2026年度男装数据汇总分析--俄罗斯'!J95</f>
        <v>0</v>
      </c>
      <c r="K95" s="1">
        <f>'[2]2026年度男装数据汇总分析--俄罗斯'!K95</f>
        <v>0</v>
      </c>
      <c r="L95" s="1">
        <f>'[2]2026年度男装数据汇总分析--俄罗斯'!L95</f>
        <v>0</v>
      </c>
      <c r="M95" s="1">
        <f>'[2]2026年度男装数据汇总分析--俄罗斯'!M95</f>
        <v>0</v>
      </c>
      <c r="N95" s="1">
        <f>'[2]2026年度男装数据汇总分析--俄罗斯'!N95</f>
        <v>0</v>
      </c>
      <c r="O95" s="1">
        <f>'[2]2026年度男装数据汇总分析--俄罗斯'!O95</f>
        <v>0</v>
      </c>
    </row>
    <row r="96" s="37" customFormat="1" spans="1:15">
      <c r="A96" s="10">
        <f>'[2]2026年度男装数据汇总分析--俄罗斯'!A96</f>
        <v>0</v>
      </c>
      <c r="B96" s="1" t="str">
        <f>'[2]2026年度男装数据汇总分析--俄罗斯'!B96</f>
        <v>实销完成</v>
      </c>
      <c r="C96" s="1">
        <f>'[2]2026年度男装数据汇总分析--俄罗斯'!C96</f>
        <v>0</v>
      </c>
      <c r="D96" s="1">
        <f>'[2]2026年度男装数据汇总分析--俄罗斯'!D96</f>
        <v>0</v>
      </c>
      <c r="E96" s="1">
        <f>'[2]2026年度男装数据汇总分析--俄罗斯'!E96</f>
        <v>0</v>
      </c>
      <c r="F96" s="1">
        <f>'[2]2026年度男装数据汇总分析--俄罗斯'!F96</f>
        <v>0</v>
      </c>
      <c r="G96" s="1">
        <f>'[2]2026年度男装数据汇总分析--俄罗斯'!G96</f>
        <v>0</v>
      </c>
      <c r="H96" s="1">
        <f>'[2]2026年度男装数据汇总分析--俄罗斯'!H96</f>
        <v>0</v>
      </c>
      <c r="I96" s="1">
        <f>'[2]2026年度男装数据汇总分析--俄罗斯'!I96</f>
        <v>0</v>
      </c>
      <c r="J96" s="1">
        <f>'[2]2026年度男装数据汇总分析--俄罗斯'!J96</f>
        <v>0</v>
      </c>
      <c r="K96" s="1">
        <f>'[2]2026年度男装数据汇总分析--俄罗斯'!K96</f>
        <v>0</v>
      </c>
      <c r="L96" s="1">
        <f>'[2]2026年度男装数据汇总分析--俄罗斯'!L96</f>
        <v>0</v>
      </c>
      <c r="M96" s="1">
        <f>'[2]2026年度男装数据汇总分析--俄罗斯'!M96</f>
        <v>0</v>
      </c>
      <c r="N96" s="1">
        <f>'[2]2026年度男装数据汇总分析--俄罗斯'!N96</f>
        <v>0</v>
      </c>
      <c r="O96" s="1">
        <f>'[2]2026年度男装数据汇总分析--俄罗斯'!O96</f>
        <v>0</v>
      </c>
    </row>
    <row r="97" s="37" customFormat="1" spans="1:15">
      <c r="A97" s="10">
        <f>'[2]2026年度男装数据汇总分析--俄罗斯'!A97</f>
        <v>0</v>
      </c>
      <c r="B97" s="1" t="str">
        <f>'[2]2026年度男装数据汇总分析--俄罗斯'!B97</f>
        <v>GMV完成</v>
      </c>
      <c r="C97" s="1">
        <f>'[2]2026年度男装数据汇总分析--俄罗斯'!C97</f>
        <v>0</v>
      </c>
      <c r="D97" s="1">
        <f>'[2]2026年度男装数据汇总分析--俄罗斯'!D97</f>
        <v>0</v>
      </c>
      <c r="E97" s="1">
        <f>'[2]2026年度男装数据汇总分析--俄罗斯'!E97</f>
        <v>0</v>
      </c>
      <c r="F97" s="1">
        <f>'[2]2026年度男装数据汇总分析--俄罗斯'!F97</f>
        <v>0</v>
      </c>
      <c r="G97" s="1">
        <f>'[2]2026年度男装数据汇总分析--俄罗斯'!G97</f>
        <v>0</v>
      </c>
      <c r="H97" s="1">
        <f>'[2]2026年度男装数据汇总分析--俄罗斯'!H97</f>
        <v>0</v>
      </c>
      <c r="I97" s="1">
        <f>'[2]2026年度男装数据汇总分析--俄罗斯'!I97</f>
        <v>0</v>
      </c>
      <c r="J97" s="1">
        <f>'[2]2026年度男装数据汇总分析--俄罗斯'!J97</f>
        <v>0</v>
      </c>
      <c r="K97" s="1">
        <f>'[2]2026年度男装数据汇总分析--俄罗斯'!K97</f>
        <v>0</v>
      </c>
      <c r="L97" s="1">
        <f>'[2]2026年度男装数据汇总分析--俄罗斯'!L97</f>
        <v>0</v>
      </c>
      <c r="M97" s="1">
        <f>'[2]2026年度男装数据汇总分析--俄罗斯'!M97</f>
        <v>0</v>
      </c>
      <c r="N97" s="1">
        <f>'[2]2026年度男装数据汇总分析--俄罗斯'!N97</f>
        <v>0</v>
      </c>
      <c r="O97" s="1">
        <f>'[2]2026年度男装数据汇总分析--俄罗斯'!O97</f>
        <v>0</v>
      </c>
    </row>
    <row r="98" s="37" customFormat="1" spans="1:15">
      <c r="A98" s="10">
        <f>'[2]2026年度男装数据汇总分析--俄罗斯'!A98</f>
        <v>0</v>
      </c>
      <c r="B98" s="1" t="str">
        <f>'[2]2026年度男装数据汇总分析--俄罗斯'!B98</f>
        <v>GSV完成</v>
      </c>
      <c r="C98" s="1">
        <f>'[2]2026年度男装数据汇总分析--俄罗斯'!C98</f>
        <v>0</v>
      </c>
      <c r="D98" s="1">
        <f>'[2]2026年度男装数据汇总分析--俄罗斯'!D98</f>
        <v>0</v>
      </c>
      <c r="E98" s="1">
        <f>'[2]2026年度男装数据汇总分析--俄罗斯'!E98</f>
        <v>0</v>
      </c>
      <c r="F98" s="1">
        <f>'[2]2026年度男装数据汇总分析--俄罗斯'!F98</f>
        <v>0</v>
      </c>
      <c r="G98" s="1">
        <f>'[2]2026年度男装数据汇总分析--俄罗斯'!G98</f>
        <v>0</v>
      </c>
      <c r="H98" s="1">
        <f>'[2]2026年度男装数据汇总分析--俄罗斯'!H98</f>
        <v>0</v>
      </c>
      <c r="I98" s="1">
        <f>'[2]2026年度男装数据汇总分析--俄罗斯'!I98</f>
        <v>0</v>
      </c>
      <c r="J98" s="1">
        <f>'[2]2026年度男装数据汇总分析--俄罗斯'!J98</f>
        <v>0</v>
      </c>
      <c r="K98" s="1">
        <f>'[2]2026年度男装数据汇总分析--俄罗斯'!K98</f>
        <v>0</v>
      </c>
      <c r="L98" s="1">
        <f>'[2]2026年度男装数据汇总分析--俄罗斯'!L98</f>
        <v>0</v>
      </c>
      <c r="M98" s="1">
        <f>'[2]2026年度男装数据汇总分析--俄罗斯'!M98</f>
        <v>0</v>
      </c>
      <c r="N98" s="1">
        <f>'[2]2026年度男装数据汇总分析--俄罗斯'!N98</f>
        <v>0</v>
      </c>
      <c r="O98" s="1">
        <f>'[2]2026年度男装数据汇总分析--俄罗斯'!O98</f>
        <v>0</v>
      </c>
    </row>
    <row r="99" s="37" customFormat="1" spans="1:15">
      <c r="A99" s="10">
        <f>'[2]2026年度男装数据汇总分析--俄罗斯'!A99</f>
        <v>0</v>
      </c>
      <c r="B99" s="1" t="str">
        <f>'[2]2026年度男装数据汇总分析--俄罗斯'!B99</f>
        <v>退款率</v>
      </c>
      <c r="C99" s="13" t="e">
        <f>'[2]2026年度男装数据汇总分析--俄罗斯'!C99</f>
        <v>#DIV/0!</v>
      </c>
      <c r="D99" s="13" t="e">
        <f>'[2]2026年度男装数据汇总分析--俄罗斯'!D99</f>
        <v>#DIV/0!</v>
      </c>
      <c r="E99" s="13" t="e">
        <f>'[2]2026年度男装数据汇总分析--俄罗斯'!E99</f>
        <v>#DIV/0!</v>
      </c>
      <c r="F99" s="13" t="e">
        <f>'[2]2026年度男装数据汇总分析--俄罗斯'!F99</f>
        <v>#DIV/0!</v>
      </c>
      <c r="G99" s="13" t="e">
        <f>'[2]2026年度男装数据汇总分析--俄罗斯'!G99</f>
        <v>#DIV/0!</v>
      </c>
      <c r="H99" s="13" t="e">
        <f>'[2]2026年度男装数据汇总分析--俄罗斯'!H99</f>
        <v>#DIV/0!</v>
      </c>
      <c r="I99" s="13" t="e">
        <f>'[2]2026年度男装数据汇总分析--俄罗斯'!I99</f>
        <v>#DIV/0!</v>
      </c>
      <c r="J99" s="13" t="e">
        <f>'[2]2026年度男装数据汇总分析--俄罗斯'!J99</f>
        <v>#DIV/0!</v>
      </c>
      <c r="K99" s="13" t="e">
        <f>'[2]2026年度男装数据汇总分析--俄罗斯'!K99</f>
        <v>#DIV/0!</v>
      </c>
      <c r="L99" s="13" t="e">
        <f>'[2]2026年度男装数据汇总分析--俄罗斯'!L99</f>
        <v>#DIV/0!</v>
      </c>
      <c r="M99" s="13" t="e">
        <f>'[2]2026年度男装数据汇总分析--俄罗斯'!M99</f>
        <v>#DIV/0!</v>
      </c>
      <c r="N99" s="13" t="e">
        <f>'[2]2026年度男装数据汇总分析--俄罗斯'!N99</f>
        <v>#DIV/0!</v>
      </c>
      <c r="O99" s="13" t="e">
        <f>'[2]2026年度男装数据汇总分析--俄罗斯'!O99</f>
        <v>#DIV/0!</v>
      </c>
    </row>
    <row r="100" s="37" customFormat="1" spans="1:15">
      <c r="A100" s="10">
        <f>'[2]2026年度男装数据汇总分析--俄罗斯'!A100</f>
        <v>0</v>
      </c>
      <c r="B100" s="1" t="str">
        <f>'[2]2026年度男装数据汇总分析--俄罗斯'!B100</f>
        <v>退货率</v>
      </c>
      <c r="C100" s="13" t="e">
        <f>'[2]2026年度男装数据汇总分析--俄罗斯'!C100</f>
        <v>#DIV/0!</v>
      </c>
      <c r="D100" s="13" t="e">
        <f>'[2]2026年度男装数据汇总分析--俄罗斯'!D100</f>
        <v>#DIV/0!</v>
      </c>
      <c r="E100" s="13" t="e">
        <f>'[2]2026年度男装数据汇总分析--俄罗斯'!E100</f>
        <v>#DIV/0!</v>
      </c>
      <c r="F100" s="13" t="e">
        <f>'[2]2026年度男装数据汇总分析--俄罗斯'!F100</f>
        <v>#DIV/0!</v>
      </c>
      <c r="G100" s="13" t="e">
        <f>'[2]2026年度男装数据汇总分析--俄罗斯'!G100</f>
        <v>#DIV/0!</v>
      </c>
      <c r="H100" s="13" t="e">
        <f>'[2]2026年度男装数据汇总分析--俄罗斯'!H100</f>
        <v>#DIV/0!</v>
      </c>
      <c r="I100" s="13" t="e">
        <f>'[2]2026年度男装数据汇总分析--俄罗斯'!I100</f>
        <v>#DIV/0!</v>
      </c>
      <c r="J100" s="13" t="e">
        <f>'[2]2026年度男装数据汇总分析--俄罗斯'!J100</f>
        <v>#DIV/0!</v>
      </c>
      <c r="K100" s="13" t="e">
        <f>'[2]2026年度男装数据汇总分析--俄罗斯'!K100</f>
        <v>#DIV/0!</v>
      </c>
      <c r="L100" s="13" t="e">
        <f>'[2]2026年度男装数据汇总分析--俄罗斯'!L100</f>
        <v>#DIV/0!</v>
      </c>
      <c r="M100" s="13" t="e">
        <f>'[2]2026年度男装数据汇总分析--俄罗斯'!M100</f>
        <v>#DIV/0!</v>
      </c>
      <c r="N100" s="13" t="e">
        <f>'[2]2026年度男装数据汇总分析--俄罗斯'!N100</f>
        <v>#DIV/0!</v>
      </c>
      <c r="O100" s="13" t="e">
        <f>'[2]2026年度男装数据汇总分析--俄罗斯'!O100</f>
        <v>#DIV/0!</v>
      </c>
    </row>
    <row r="101" s="37" customFormat="1" spans="1:15">
      <c r="A101" s="23">
        <f>'[2]2026年度男装数据汇总分析--俄罗斯'!A101</f>
        <v>0</v>
      </c>
      <c r="B101" s="1" t="str">
        <f>'[2]2026年度男装数据汇总分析--俄罗斯'!B101</f>
        <v>利润率</v>
      </c>
      <c r="C101" s="13" t="e">
        <f>'[2]2026年度男装数据汇总分析--俄罗斯'!C101</f>
        <v>#DIV/0!</v>
      </c>
      <c r="D101" s="13" t="e">
        <f>'[2]2026年度男装数据汇总分析--俄罗斯'!D101</f>
        <v>#DIV/0!</v>
      </c>
      <c r="E101" s="13" t="e">
        <f>'[2]2026年度男装数据汇总分析--俄罗斯'!E101</f>
        <v>#DIV/0!</v>
      </c>
      <c r="F101" s="13" t="e">
        <f>'[2]2026年度男装数据汇总分析--俄罗斯'!F101</f>
        <v>#DIV/0!</v>
      </c>
      <c r="G101" s="13" t="e">
        <f>'[2]2026年度男装数据汇总分析--俄罗斯'!G101</f>
        <v>#DIV/0!</v>
      </c>
      <c r="H101" s="13" t="e">
        <f>'[2]2026年度男装数据汇总分析--俄罗斯'!H101</f>
        <v>#DIV/0!</v>
      </c>
      <c r="I101" s="13" t="e">
        <f>'[2]2026年度男装数据汇总分析--俄罗斯'!I101</f>
        <v>#DIV/0!</v>
      </c>
      <c r="J101" s="13" t="e">
        <f>'[2]2026年度男装数据汇总分析--俄罗斯'!J101</f>
        <v>#DIV/0!</v>
      </c>
      <c r="K101" s="13" t="e">
        <f>'[2]2026年度男装数据汇总分析--俄罗斯'!K101</f>
        <v>#DIV/0!</v>
      </c>
      <c r="L101" s="13" t="e">
        <f>'[2]2026年度男装数据汇总分析--俄罗斯'!L101</f>
        <v>#DIV/0!</v>
      </c>
      <c r="M101" s="13" t="e">
        <f>'[2]2026年度男装数据汇总分析--俄罗斯'!M101</f>
        <v>#DIV/0!</v>
      </c>
      <c r="N101" s="13" t="e">
        <f>'[2]2026年度男装数据汇总分析--俄罗斯'!N101</f>
        <v>#DIV/0!</v>
      </c>
      <c r="O101" s="13" t="e">
        <f>'[2]2026年度男装数据汇总分析--俄罗斯'!O101</f>
        <v>#DIV/0!</v>
      </c>
    </row>
    <row r="102" s="37" customFormat="1" spans="1:15">
      <c r="A102" s="7" t="str">
        <f>'[2]2026年度男装数据汇总分析--俄罗斯'!A102</f>
        <v>新店6</v>
      </c>
      <c r="B102" s="1" t="str">
        <f>'[2]2026年度男装数据汇总分析--俄罗斯'!B102</f>
        <v>实际利润（人民币）</v>
      </c>
      <c r="C102" s="1">
        <f>'[2]2026年度男装数据汇总分析--俄罗斯'!C102</f>
        <v>0</v>
      </c>
      <c r="D102" s="1">
        <f>'[2]2026年度男装数据汇总分析--俄罗斯'!D102</f>
        <v>0</v>
      </c>
      <c r="E102" s="1">
        <f>'[2]2026年度男装数据汇总分析--俄罗斯'!E102</f>
        <v>0</v>
      </c>
      <c r="F102" s="1">
        <f>'[2]2026年度男装数据汇总分析--俄罗斯'!F102</f>
        <v>0</v>
      </c>
      <c r="G102" s="1">
        <f>'[2]2026年度男装数据汇总分析--俄罗斯'!G102</f>
        <v>0</v>
      </c>
      <c r="H102" s="1">
        <f>'[2]2026年度男装数据汇总分析--俄罗斯'!H102</f>
        <v>0</v>
      </c>
      <c r="I102" s="1">
        <f>'[2]2026年度男装数据汇总分析--俄罗斯'!I102</f>
        <v>0</v>
      </c>
      <c r="J102" s="1">
        <f>'[2]2026年度男装数据汇总分析--俄罗斯'!J102</f>
        <v>0</v>
      </c>
      <c r="K102" s="1">
        <f>'[2]2026年度男装数据汇总分析--俄罗斯'!K102</f>
        <v>0</v>
      </c>
      <c r="L102" s="1">
        <f>'[2]2026年度男装数据汇总分析--俄罗斯'!L102</f>
        <v>0</v>
      </c>
      <c r="M102" s="1">
        <f>'[2]2026年度男装数据汇总分析--俄罗斯'!M102</f>
        <v>0</v>
      </c>
      <c r="N102" s="1">
        <f>'[2]2026年度男装数据汇总分析--俄罗斯'!N102</f>
        <v>0</v>
      </c>
      <c r="O102" s="1">
        <f>'[2]2026年度男装数据汇总分析--俄罗斯'!O102</f>
        <v>0</v>
      </c>
    </row>
    <row r="103" s="37" customFormat="1" spans="1:15">
      <c r="A103" s="10">
        <f>'[2]2026年度男装数据汇总分析--俄罗斯'!A103</f>
        <v>0</v>
      </c>
      <c r="B103" s="1" t="str">
        <f>'[2]2026年度男装数据汇总分析--俄罗斯'!B103</f>
        <v>销量完成</v>
      </c>
      <c r="C103" s="1">
        <f>'[2]2026年度男装数据汇总分析--俄罗斯'!C103</f>
        <v>0</v>
      </c>
      <c r="D103" s="1">
        <f>'[2]2026年度男装数据汇总分析--俄罗斯'!D103</f>
        <v>0</v>
      </c>
      <c r="E103" s="1">
        <f>'[2]2026年度男装数据汇总分析--俄罗斯'!E103</f>
        <v>0</v>
      </c>
      <c r="F103" s="1">
        <f>'[2]2026年度男装数据汇总分析--俄罗斯'!F103</f>
        <v>0</v>
      </c>
      <c r="G103" s="1">
        <f>'[2]2026年度男装数据汇总分析--俄罗斯'!G103</f>
        <v>0</v>
      </c>
      <c r="H103" s="1">
        <f>'[2]2026年度男装数据汇总分析--俄罗斯'!H103</f>
        <v>0</v>
      </c>
      <c r="I103" s="1">
        <f>'[2]2026年度男装数据汇总分析--俄罗斯'!I103</f>
        <v>0</v>
      </c>
      <c r="J103" s="1">
        <f>'[2]2026年度男装数据汇总分析--俄罗斯'!J103</f>
        <v>0</v>
      </c>
      <c r="K103" s="1">
        <f>'[2]2026年度男装数据汇总分析--俄罗斯'!K103</f>
        <v>0</v>
      </c>
      <c r="L103" s="1">
        <f>'[2]2026年度男装数据汇总分析--俄罗斯'!L103</f>
        <v>0</v>
      </c>
      <c r="M103" s="1">
        <f>'[2]2026年度男装数据汇总分析--俄罗斯'!M103</f>
        <v>0</v>
      </c>
      <c r="N103" s="1">
        <f>'[2]2026年度男装数据汇总分析--俄罗斯'!N103</f>
        <v>0</v>
      </c>
      <c r="O103" s="1">
        <f>'[2]2026年度男装数据汇总分析--俄罗斯'!O103</f>
        <v>0</v>
      </c>
    </row>
    <row r="104" s="37" customFormat="1" spans="1:15">
      <c r="A104" s="10">
        <f>'[2]2026年度男装数据汇总分析--俄罗斯'!A104</f>
        <v>0</v>
      </c>
      <c r="B104" s="1" t="str">
        <f>'[2]2026年度男装数据汇总分析--俄罗斯'!B104</f>
        <v>实销完成</v>
      </c>
      <c r="C104" s="1">
        <f>'[2]2026年度男装数据汇总分析--俄罗斯'!C104</f>
        <v>0</v>
      </c>
      <c r="D104" s="1">
        <f>'[2]2026年度男装数据汇总分析--俄罗斯'!D104</f>
        <v>0</v>
      </c>
      <c r="E104" s="1">
        <f>'[2]2026年度男装数据汇总分析--俄罗斯'!E104</f>
        <v>0</v>
      </c>
      <c r="F104" s="1">
        <f>'[2]2026年度男装数据汇总分析--俄罗斯'!F104</f>
        <v>0</v>
      </c>
      <c r="G104" s="1">
        <f>'[2]2026年度男装数据汇总分析--俄罗斯'!G104</f>
        <v>0</v>
      </c>
      <c r="H104" s="1">
        <f>'[2]2026年度男装数据汇总分析--俄罗斯'!H104</f>
        <v>0</v>
      </c>
      <c r="I104" s="1">
        <f>'[2]2026年度男装数据汇总分析--俄罗斯'!I104</f>
        <v>0</v>
      </c>
      <c r="J104" s="1">
        <f>'[2]2026年度男装数据汇总分析--俄罗斯'!J104</f>
        <v>0</v>
      </c>
      <c r="K104" s="1">
        <f>'[2]2026年度男装数据汇总分析--俄罗斯'!K104</f>
        <v>0</v>
      </c>
      <c r="L104" s="1">
        <f>'[2]2026年度男装数据汇总分析--俄罗斯'!L104</f>
        <v>0</v>
      </c>
      <c r="M104" s="1">
        <f>'[2]2026年度男装数据汇总分析--俄罗斯'!M104</f>
        <v>0</v>
      </c>
      <c r="N104" s="1">
        <f>'[2]2026年度男装数据汇总分析--俄罗斯'!N104</f>
        <v>0</v>
      </c>
      <c r="O104" s="1">
        <f>'[2]2026年度男装数据汇总分析--俄罗斯'!O104</f>
        <v>0</v>
      </c>
    </row>
    <row r="105" s="37" customFormat="1" spans="1:15">
      <c r="A105" s="10">
        <f>'[2]2026年度男装数据汇总分析--俄罗斯'!A105</f>
        <v>0</v>
      </c>
      <c r="B105" s="1" t="str">
        <f>'[2]2026年度男装数据汇总分析--俄罗斯'!B105</f>
        <v>GMV完成</v>
      </c>
      <c r="C105" s="1">
        <f>'[2]2026年度男装数据汇总分析--俄罗斯'!C105</f>
        <v>0</v>
      </c>
      <c r="D105" s="1">
        <f>'[2]2026年度男装数据汇总分析--俄罗斯'!D105</f>
        <v>0</v>
      </c>
      <c r="E105" s="1">
        <f>'[2]2026年度男装数据汇总分析--俄罗斯'!E105</f>
        <v>0</v>
      </c>
      <c r="F105" s="1">
        <f>'[2]2026年度男装数据汇总分析--俄罗斯'!F105</f>
        <v>0</v>
      </c>
      <c r="G105" s="1">
        <f>'[2]2026年度男装数据汇总分析--俄罗斯'!G105</f>
        <v>0</v>
      </c>
      <c r="H105" s="1">
        <f>'[2]2026年度男装数据汇总分析--俄罗斯'!H105</f>
        <v>0</v>
      </c>
      <c r="I105" s="1">
        <f>'[2]2026年度男装数据汇总分析--俄罗斯'!I105</f>
        <v>0</v>
      </c>
      <c r="J105" s="1">
        <f>'[2]2026年度男装数据汇总分析--俄罗斯'!J105</f>
        <v>0</v>
      </c>
      <c r="K105" s="1">
        <f>'[2]2026年度男装数据汇总分析--俄罗斯'!K105</f>
        <v>0</v>
      </c>
      <c r="L105" s="1">
        <f>'[2]2026年度男装数据汇总分析--俄罗斯'!L105</f>
        <v>0</v>
      </c>
      <c r="M105" s="1">
        <f>'[2]2026年度男装数据汇总分析--俄罗斯'!M105</f>
        <v>0</v>
      </c>
      <c r="N105" s="1">
        <f>'[2]2026年度男装数据汇总分析--俄罗斯'!N105</f>
        <v>0</v>
      </c>
      <c r="O105" s="1">
        <f>'[2]2026年度男装数据汇总分析--俄罗斯'!O105</f>
        <v>0</v>
      </c>
    </row>
    <row r="106" s="37" customFormat="1" spans="1:15">
      <c r="A106" s="10">
        <f>'[2]2026年度男装数据汇总分析--俄罗斯'!A106</f>
        <v>0</v>
      </c>
      <c r="B106" s="1" t="str">
        <f>'[2]2026年度男装数据汇总分析--俄罗斯'!B106</f>
        <v>GSV完成</v>
      </c>
      <c r="C106" s="1">
        <f>'[2]2026年度男装数据汇总分析--俄罗斯'!C106</f>
        <v>0</v>
      </c>
      <c r="D106" s="1">
        <f>'[2]2026年度男装数据汇总分析--俄罗斯'!D106</f>
        <v>0</v>
      </c>
      <c r="E106" s="1">
        <f>'[2]2026年度男装数据汇总分析--俄罗斯'!E106</f>
        <v>0</v>
      </c>
      <c r="F106" s="1">
        <f>'[2]2026年度男装数据汇总分析--俄罗斯'!F106</f>
        <v>0</v>
      </c>
      <c r="G106" s="1">
        <f>'[2]2026年度男装数据汇总分析--俄罗斯'!G106</f>
        <v>0</v>
      </c>
      <c r="H106" s="1">
        <f>'[2]2026年度男装数据汇总分析--俄罗斯'!H106</f>
        <v>0</v>
      </c>
      <c r="I106" s="1">
        <f>'[2]2026年度男装数据汇总分析--俄罗斯'!I106</f>
        <v>0</v>
      </c>
      <c r="J106" s="1">
        <f>'[2]2026年度男装数据汇总分析--俄罗斯'!J106</f>
        <v>0</v>
      </c>
      <c r="K106" s="1">
        <f>'[2]2026年度男装数据汇总分析--俄罗斯'!K106</f>
        <v>0</v>
      </c>
      <c r="L106" s="1">
        <f>'[2]2026年度男装数据汇总分析--俄罗斯'!L106</f>
        <v>0</v>
      </c>
      <c r="M106" s="1">
        <f>'[2]2026年度男装数据汇总分析--俄罗斯'!M106</f>
        <v>0</v>
      </c>
      <c r="N106" s="1">
        <f>'[2]2026年度男装数据汇总分析--俄罗斯'!N106</f>
        <v>0</v>
      </c>
      <c r="O106" s="1">
        <f>'[2]2026年度男装数据汇总分析--俄罗斯'!O106</f>
        <v>0</v>
      </c>
    </row>
    <row r="107" s="37" customFormat="1" spans="1:15">
      <c r="A107" s="10">
        <f>'[2]2026年度男装数据汇总分析--俄罗斯'!A107</f>
        <v>0</v>
      </c>
      <c r="B107" s="1" t="str">
        <f>'[2]2026年度男装数据汇总分析--俄罗斯'!B107</f>
        <v>退款率</v>
      </c>
      <c r="C107" s="13" t="e">
        <f>'[2]2026年度男装数据汇总分析--俄罗斯'!C107</f>
        <v>#DIV/0!</v>
      </c>
      <c r="D107" s="13" t="e">
        <f>'[2]2026年度男装数据汇总分析--俄罗斯'!D107</f>
        <v>#DIV/0!</v>
      </c>
      <c r="E107" s="13" t="e">
        <f>'[2]2026年度男装数据汇总分析--俄罗斯'!E107</f>
        <v>#DIV/0!</v>
      </c>
      <c r="F107" s="13" t="e">
        <f>'[2]2026年度男装数据汇总分析--俄罗斯'!F107</f>
        <v>#DIV/0!</v>
      </c>
      <c r="G107" s="13" t="e">
        <f>'[2]2026年度男装数据汇总分析--俄罗斯'!G107</f>
        <v>#DIV/0!</v>
      </c>
      <c r="H107" s="13" t="e">
        <f>'[2]2026年度男装数据汇总分析--俄罗斯'!H107</f>
        <v>#DIV/0!</v>
      </c>
      <c r="I107" s="13" t="e">
        <f>'[2]2026年度男装数据汇总分析--俄罗斯'!I107</f>
        <v>#DIV/0!</v>
      </c>
      <c r="J107" s="13" t="e">
        <f>'[2]2026年度男装数据汇总分析--俄罗斯'!J107</f>
        <v>#DIV/0!</v>
      </c>
      <c r="K107" s="13" t="e">
        <f>'[2]2026年度男装数据汇总分析--俄罗斯'!K107</f>
        <v>#DIV/0!</v>
      </c>
      <c r="L107" s="13" t="e">
        <f>'[2]2026年度男装数据汇总分析--俄罗斯'!L107</f>
        <v>#DIV/0!</v>
      </c>
      <c r="M107" s="13" t="e">
        <f>'[2]2026年度男装数据汇总分析--俄罗斯'!M107</f>
        <v>#DIV/0!</v>
      </c>
      <c r="N107" s="13" t="e">
        <f>'[2]2026年度男装数据汇总分析--俄罗斯'!N107</f>
        <v>#DIV/0!</v>
      </c>
      <c r="O107" s="13" t="e">
        <f>'[2]2026年度男装数据汇总分析--俄罗斯'!O107</f>
        <v>#DIV/0!</v>
      </c>
    </row>
    <row r="108" s="37" customFormat="1" spans="1:15">
      <c r="A108" s="10">
        <f>'[2]2026年度男装数据汇总分析--俄罗斯'!A108</f>
        <v>0</v>
      </c>
      <c r="B108" s="1" t="str">
        <f>'[2]2026年度男装数据汇总分析--俄罗斯'!B108</f>
        <v>退货率</v>
      </c>
      <c r="C108" s="13" t="e">
        <f>'[2]2026年度男装数据汇总分析--俄罗斯'!C108</f>
        <v>#DIV/0!</v>
      </c>
      <c r="D108" s="13" t="e">
        <f>'[2]2026年度男装数据汇总分析--俄罗斯'!D108</f>
        <v>#DIV/0!</v>
      </c>
      <c r="E108" s="13" t="e">
        <f>'[2]2026年度男装数据汇总分析--俄罗斯'!E108</f>
        <v>#DIV/0!</v>
      </c>
      <c r="F108" s="13" t="e">
        <f>'[2]2026年度男装数据汇总分析--俄罗斯'!F108</f>
        <v>#DIV/0!</v>
      </c>
      <c r="G108" s="13" t="e">
        <f>'[2]2026年度男装数据汇总分析--俄罗斯'!G108</f>
        <v>#DIV/0!</v>
      </c>
      <c r="H108" s="13" t="e">
        <f>'[2]2026年度男装数据汇总分析--俄罗斯'!H108</f>
        <v>#DIV/0!</v>
      </c>
      <c r="I108" s="13" t="e">
        <f>'[2]2026年度男装数据汇总分析--俄罗斯'!I108</f>
        <v>#DIV/0!</v>
      </c>
      <c r="J108" s="13" t="e">
        <f>'[2]2026年度男装数据汇总分析--俄罗斯'!J108</f>
        <v>#DIV/0!</v>
      </c>
      <c r="K108" s="13" t="e">
        <f>'[2]2026年度男装数据汇总分析--俄罗斯'!K108</f>
        <v>#DIV/0!</v>
      </c>
      <c r="L108" s="13" t="e">
        <f>'[2]2026年度男装数据汇总分析--俄罗斯'!L108</f>
        <v>#DIV/0!</v>
      </c>
      <c r="M108" s="13" t="e">
        <f>'[2]2026年度男装数据汇总分析--俄罗斯'!M108</f>
        <v>#DIV/0!</v>
      </c>
      <c r="N108" s="13" t="e">
        <f>'[2]2026年度男装数据汇总分析--俄罗斯'!N108</f>
        <v>#DIV/0!</v>
      </c>
      <c r="O108" s="13" t="e">
        <f>'[2]2026年度男装数据汇总分析--俄罗斯'!O108</f>
        <v>#DIV/0!</v>
      </c>
    </row>
    <row r="109" s="37" customFormat="1" spans="1:15">
      <c r="A109" s="23">
        <f>'[2]2026年度男装数据汇总分析--俄罗斯'!A109</f>
        <v>0</v>
      </c>
      <c r="B109" s="1" t="str">
        <f>'[2]2026年度男装数据汇总分析--俄罗斯'!B109</f>
        <v>利润率</v>
      </c>
      <c r="C109" s="13" t="e">
        <f>'[2]2026年度男装数据汇总分析--俄罗斯'!C109</f>
        <v>#DIV/0!</v>
      </c>
      <c r="D109" s="13" t="e">
        <f>'[2]2026年度男装数据汇总分析--俄罗斯'!D109</f>
        <v>#DIV/0!</v>
      </c>
      <c r="E109" s="13" t="e">
        <f>'[2]2026年度男装数据汇总分析--俄罗斯'!E109</f>
        <v>#DIV/0!</v>
      </c>
      <c r="F109" s="13" t="e">
        <f>'[2]2026年度男装数据汇总分析--俄罗斯'!F109</f>
        <v>#DIV/0!</v>
      </c>
      <c r="G109" s="13" t="e">
        <f>'[2]2026年度男装数据汇总分析--俄罗斯'!G109</f>
        <v>#DIV/0!</v>
      </c>
      <c r="H109" s="13" t="e">
        <f>'[2]2026年度男装数据汇总分析--俄罗斯'!H109</f>
        <v>#DIV/0!</v>
      </c>
      <c r="I109" s="13" t="e">
        <f>'[2]2026年度男装数据汇总分析--俄罗斯'!I109</f>
        <v>#DIV/0!</v>
      </c>
      <c r="J109" s="13" t="e">
        <f>'[2]2026年度男装数据汇总分析--俄罗斯'!J109</f>
        <v>#DIV/0!</v>
      </c>
      <c r="K109" s="13" t="e">
        <f>'[2]2026年度男装数据汇总分析--俄罗斯'!K109</f>
        <v>#DIV/0!</v>
      </c>
      <c r="L109" s="13" t="e">
        <f>'[2]2026年度男装数据汇总分析--俄罗斯'!L109</f>
        <v>#DIV/0!</v>
      </c>
      <c r="M109" s="13" t="e">
        <f>'[2]2026年度男装数据汇总分析--俄罗斯'!M109</f>
        <v>#DIV/0!</v>
      </c>
      <c r="N109" s="13" t="e">
        <f>'[2]2026年度男装数据汇总分析--俄罗斯'!N109</f>
        <v>#DIV/0!</v>
      </c>
      <c r="O109" s="13" t="e">
        <f>'[2]2026年度男装数据汇总分析--俄罗斯'!O109</f>
        <v>#DIV/0!</v>
      </c>
    </row>
    <row r="110" s="37" customFormat="1" spans="1:15">
      <c r="A110" s="7" t="str">
        <f>'[2]2026年度男装数据汇总分析--俄罗斯'!A110</f>
        <v>新店7</v>
      </c>
      <c r="B110" s="1" t="str">
        <f>'[2]2026年度男装数据汇总分析--俄罗斯'!B110</f>
        <v>实际利润（人民币）</v>
      </c>
      <c r="C110" s="1">
        <f>'[2]2026年度男装数据汇总分析--俄罗斯'!C110</f>
        <v>0</v>
      </c>
      <c r="D110" s="1">
        <f>'[2]2026年度男装数据汇总分析--俄罗斯'!D110</f>
        <v>0</v>
      </c>
      <c r="E110" s="1">
        <f>'[2]2026年度男装数据汇总分析--俄罗斯'!E110</f>
        <v>0</v>
      </c>
      <c r="F110" s="1">
        <f>'[2]2026年度男装数据汇总分析--俄罗斯'!F110</f>
        <v>0</v>
      </c>
      <c r="G110" s="1">
        <f>'[2]2026年度男装数据汇总分析--俄罗斯'!G110</f>
        <v>0</v>
      </c>
      <c r="H110" s="1">
        <f>'[2]2026年度男装数据汇总分析--俄罗斯'!H110</f>
        <v>0</v>
      </c>
      <c r="I110" s="1">
        <f>'[2]2026年度男装数据汇总分析--俄罗斯'!I110</f>
        <v>0</v>
      </c>
      <c r="J110" s="1">
        <f>'[2]2026年度男装数据汇总分析--俄罗斯'!J110</f>
        <v>0</v>
      </c>
      <c r="K110" s="1">
        <f>'[2]2026年度男装数据汇总分析--俄罗斯'!K110</f>
        <v>0</v>
      </c>
      <c r="L110" s="1">
        <f>'[2]2026年度男装数据汇总分析--俄罗斯'!L110</f>
        <v>0</v>
      </c>
      <c r="M110" s="1">
        <f>'[2]2026年度男装数据汇总分析--俄罗斯'!M110</f>
        <v>0</v>
      </c>
      <c r="N110" s="1">
        <f>'[2]2026年度男装数据汇总分析--俄罗斯'!N110</f>
        <v>0</v>
      </c>
      <c r="O110" s="1">
        <f>'[2]2026年度男装数据汇总分析--俄罗斯'!O110</f>
        <v>0</v>
      </c>
    </row>
    <row r="111" s="37" customFormat="1" spans="1:15">
      <c r="A111" s="10">
        <f>'[2]2026年度男装数据汇总分析--俄罗斯'!A111</f>
        <v>0</v>
      </c>
      <c r="B111" s="1" t="str">
        <f>'[2]2026年度男装数据汇总分析--俄罗斯'!B111</f>
        <v>销量完成</v>
      </c>
      <c r="C111" s="1">
        <f>'[2]2026年度男装数据汇总分析--俄罗斯'!C111</f>
        <v>0</v>
      </c>
      <c r="D111" s="1">
        <f>'[2]2026年度男装数据汇总分析--俄罗斯'!D111</f>
        <v>0</v>
      </c>
      <c r="E111" s="1">
        <f>'[2]2026年度男装数据汇总分析--俄罗斯'!E111</f>
        <v>0</v>
      </c>
      <c r="F111" s="1">
        <f>'[2]2026年度男装数据汇总分析--俄罗斯'!F111</f>
        <v>0</v>
      </c>
      <c r="G111" s="1">
        <f>'[2]2026年度男装数据汇总分析--俄罗斯'!G111</f>
        <v>0</v>
      </c>
      <c r="H111" s="1">
        <f>'[2]2026年度男装数据汇总分析--俄罗斯'!H111</f>
        <v>0</v>
      </c>
      <c r="I111" s="1">
        <f>'[2]2026年度男装数据汇总分析--俄罗斯'!I111</f>
        <v>0</v>
      </c>
      <c r="J111" s="1">
        <f>'[2]2026年度男装数据汇总分析--俄罗斯'!J111</f>
        <v>0</v>
      </c>
      <c r="K111" s="1">
        <f>'[2]2026年度男装数据汇总分析--俄罗斯'!K111</f>
        <v>0</v>
      </c>
      <c r="L111" s="1">
        <f>'[2]2026年度男装数据汇总分析--俄罗斯'!L111</f>
        <v>0</v>
      </c>
      <c r="M111" s="1">
        <f>'[2]2026年度男装数据汇总分析--俄罗斯'!M111</f>
        <v>0</v>
      </c>
      <c r="N111" s="1">
        <f>'[2]2026年度男装数据汇总分析--俄罗斯'!N111</f>
        <v>0</v>
      </c>
      <c r="O111" s="1">
        <f>'[2]2026年度男装数据汇总分析--俄罗斯'!O111</f>
        <v>0</v>
      </c>
    </row>
    <row r="112" s="37" customFormat="1" spans="1:15">
      <c r="A112" s="10">
        <f>'[2]2026年度男装数据汇总分析--俄罗斯'!A112</f>
        <v>0</v>
      </c>
      <c r="B112" s="1" t="str">
        <f>'[2]2026年度男装数据汇总分析--俄罗斯'!B112</f>
        <v>实销完成</v>
      </c>
      <c r="C112" s="1">
        <f>'[2]2026年度男装数据汇总分析--俄罗斯'!C112</f>
        <v>0</v>
      </c>
      <c r="D112" s="1">
        <f>'[2]2026年度男装数据汇总分析--俄罗斯'!D112</f>
        <v>0</v>
      </c>
      <c r="E112" s="1">
        <f>'[2]2026年度男装数据汇总分析--俄罗斯'!E112</f>
        <v>0</v>
      </c>
      <c r="F112" s="1">
        <f>'[2]2026年度男装数据汇总分析--俄罗斯'!F112</f>
        <v>0</v>
      </c>
      <c r="G112" s="1">
        <f>'[2]2026年度男装数据汇总分析--俄罗斯'!G112</f>
        <v>0</v>
      </c>
      <c r="H112" s="1">
        <f>'[2]2026年度男装数据汇总分析--俄罗斯'!H112</f>
        <v>0</v>
      </c>
      <c r="I112" s="1">
        <f>'[2]2026年度男装数据汇总分析--俄罗斯'!I112</f>
        <v>0</v>
      </c>
      <c r="J112" s="1">
        <f>'[2]2026年度男装数据汇总分析--俄罗斯'!J112</f>
        <v>0</v>
      </c>
      <c r="K112" s="1">
        <f>'[2]2026年度男装数据汇总分析--俄罗斯'!K112</f>
        <v>0</v>
      </c>
      <c r="L112" s="1">
        <f>'[2]2026年度男装数据汇总分析--俄罗斯'!L112</f>
        <v>0</v>
      </c>
      <c r="M112" s="1">
        <f>'[2]2026年度男装数据汇总分析--俄罗斯'!M112</f>
        <v>0</v>
      </c>
      <c r="N112" s="1">
        <f>'[2]2026年度男装数据汇总分析--俄罗斯'!N112</f>
        <v>0</v>
      </c>
      <c r="O112" s="1">
        <f>'[2]2026年度男装数据汇总分析--俄罗斯'!O112</f>
        <v>0</v>
      </c>
    </row>
    <row r="113" s="37" customFormat="1" spans="1:15">
      <c r="A113" s="10">
        <f>'[2]2026年度男装数据汇总分析--俄罗斯'!A113</f>
        <v>0</v>
      </c>
      <c r="B113" s="1" t="str">
        <f>'[2]2026年度男装数据汇总分析--俄罗斯'!B113</f>
        <v>GMV完成</v>
      </c>
      <c r="C113" s="1">
        <f>'[2]2026年度男装数据汇总分析--俄罗斯'!C113</f>
        <v>0</v>
      </c>
      <c r="D113" s="1">
        <f>'[2]2026年度男装数据汇总分析--俄罗斯'!D113</f>
        <v>0</v>
      </c>
      <c r="E113" s="1">
        <f>'[2]2026年度男装数据汇总分析--俄罗斯'!E113</f>
        <v>0</v>
      </c>
      <c r="F113" s="1">
        <f>'[2]2026年度男装数据汇总分析--俄罗斯'!F113</f>
        <v>0</v>
      </c>
      <c r="G113" s="1">
        <f>'[2]2026年度男装数据汇总分析--俄罗斯'!G113</f>
        <v>0</v>
      </c>
      <c r="H113" s="1">
        <f>'[2]2026年度男装数据汇总分析--俄罗斯'!H113</f>
        <v>0</v>
      </c>
      <c r="I113" s="1">
        <f>'[2]2026年度男装数据汇总分析--俄罗斯'!I113</f>
        <v>0</v>
      </c>
      <c r="J113" s="1">
        <f>'[2]2026年度男装数据汇总分析--俄罗斯'!J113</f>
        <v>0</v>
      </c>
      <c r="K113" s="1">
        <f>'[2]2026年度男装数据汇总分析--俄罗斯'!K113</f>
        <v>0</v>
      </c>
      <c r="L113" s="1">
        <f>'[2]2026年度男装数据汇总分析--俄罗斯'!L113</f>
        <v>0</v>
      </c>
      <c r="M113" s="1">
        <f>'[2]2026年度男装数据汇总分析--俄罗斯'!M113</f>
        <v>0</v>
      </c>
      <c r="N113" s="1">
        <f>'[2]2026年度男装数据汇总分析--俄罗斯'!N113</f>
        <v>0</v>
      </c>
      <c r="O113" s="1">
        <f>'[2]2026年度男装数据汇总分析--俄罗斯'!O113</f>
        <v>0</v>
      </c>
    </row>
    <row r="114" s="37" customFormat="1" spans="1:15">
      <c r="A114" s="10">
        <f>'[2]2026年度男装数据汇总分析--俄罗斯'!A114</f>
        <v>0</v>
      </c>
      <c r="B114" s="1" t="str">
        <f>'[2]2026年度男装数据汇总分析--俄罗斯'!B114</f>
        <v>GSV完成</v>
      </c>
      <c r="C114" s="1">
        <f>'[2]2026年度男装数据汇总分析--俄罗斯'!C114</f>
        <v>0</v>
      </c>
      <c r="D114" s="1">
        <f>'[2]2026年度男装数据汇总分析--俄罗斯'!D114</f>
        <v>0</v>
      </c>
      <c r="E114" s="1">
        <f>'[2]2026年度男装数据汇总分析--俄罗斯'!E114</f>
        <v>0</v>
      </c>
      <c r="F114" s="1">
        <f>'[2]2026年度男装数据汇总分析--俄罗斯'!F114</f>
        <v>0</v>
      </c>
      <c r="G114" s="1">
        <f>'[2]2026年度男装数据汇总分析--俄罗斯'!G114</f>
        <v>0</v>
      </c>
      <c r="H114" s="1">
        <f>'[2]2026年度男装数据汇总分析--俄罗斯'!H114</f>
        <v>0</v>
      </c>
      <c r="I114" s="1">
        <f>'[2]2026年度男装数据汇总分析--俄罗斯'!I114</f>
        <v>0</v>
      </c>
      <c r="J114" s="1">
        <f>'[2]2026年度男装数据汇总分析--俄罗斯'!J114</f>
        <v>0</v>
      </c>
      <c r="K114" s="1">
        <f>'[2]2026年度男装数据汇总分析--俄罗斯'!K114</f>
        <v>0</v>
      </c>
      <c r="L114" s="1">
        <f>'[2]2026年度男装数据汇总分析--俄罗斯'!L114</f>
        <v>0</v>
      </c>
      <c r="M114" s="1">
        <f>'[2]2026年度男装数据汇总分析--俄罗斯'!M114</f>
        <v>0</v>
      </c>
      <c r="N114" s="1">
        <f>'[2]2026年度男装数据汇总分析--俄罗斯'!N114</f>
        <v>0</v>
      </c>
      <c r="O114" s="1">
        <f>'[2]2026年度男装数据汇总分析--俄罗斯'!O114</f>
        <v>0</v>
      </c>
    </row>
    <row r="115" s="37" customFormat="1" spans="1:15">
      <c r="A115" s="10">
        <f>'[2]2026年度男装数据汇总分析--俄罗斯'!A115</f>
        <v>0</v>
      </c>
      <c r="B115" s="1" t="str">
        <f>'[2]2026年度男装数据汇总分析--俄罗斯'!B115</f>
        <v>退款率</v>
      </c>
      <c r="C115" s="13" t="e">
        <f>'[2]2026年度男装数据汇总分析--俄罗斯'!C115</f>
        <v>#DIV/0!</v>
      </c>
      <c r="D115" s="13" t="e">
        <f>'[2]2026年度男装数据汇总分析--俄罗斯'!D115</f>
        <v>#DIV/0!</v>
      </c>
      <c r="E115" s="13" t="e">
        <f>'[2]2026年度男装数据汇总分析--俄罗斯'!E115</f>
        <v>#DIV/0!</v>
      </c>
      <c r="F115" s="13" t="e">
        <f>'[2]2026年度男装数据汇总分析--俄罗斯'!F115</f>
        <v>#DIV/0!</v>
      </c>
      <c r="G115" s="13" t="e">
        <f>'[2]2026年度男装数据汇总分析--俄罗斯'!G115</f>
        <v>#DIV/0!</v>
      </c>
      <c r="H115" s="13" t="e">
        <f>'[2]2026年度男装数据汇总分析--俄罗斯'!H115</f>
        <v>#DIV/0!</v>
      </c>
      <c r="I115" s="13" t="e">
        <f>'[2]2026年度男装数据汇总分析--俄罗斯'!I115</f>
        <v>#DIV/0!</v>
      </c>
      <c r="J115" s="13" t="e">
        <f>'[2]2026年度男装数据汇总分析--俄罗斯'!J115</f>
        <v>#DIV/0!</v>
      </c>
      <c r="K115" s="13" t="e">
        <f>'[2]2026年度男装数据汇总分析--俄罗斯'!K115</f>
        <v>#DIV/0!</v>
      </c>
      <c r="L115" s="13" t="e">
        <f>'[2]2026年度男装数据汇总分析--俄罗斯'!L115</f>
        <v>#DIV/0!</v>
      </c>
      <c r="M115" s="13" t="e">
        <f>'[2]2026年度男装数据汇总分析--俄罗斯'!M115</f>
        <v>#DIV/0!</v>
      </c>
      <c r="N115" s="13" t="e">
        <f>'[2]2026年度男装数据汇总分析--俄罗斯'!N115</f>
        <v>#DIV/0!</v>
      </c>
      <c r="O115" s="13" t="e">
        <f>'[2]2026年度男装数据汇总分析--俄罗斯'!O115</f>
        <v>#DIV/0!</v>
      </c>
    </row>
    <row r="116" s="37" customFormat="1" spans="1:15">
      <c r="A116" s="10">
        <f>'[2]2026年度男装数据汇总分析--俄罗斯'!A116</f>
        <v>0</v>
      </c>
      <c r="B116" s="1" t="str">
        <f>'[2]2026年度男装数据汇总分析--俄罗斯'!B116</f>
        <v>退货率</v>
      </c>
      <c r="C116" s="13" t="e">
        <f>'[2]2026年度男装数据汇总分析--俄罗斯'!C116</f>
        <v>#DIV/0!</v>
      </c>
      <c r="D116" s="13" t="e">
        <f>'[2]2026年度男装数据汇总分析--俄罗斯'!D116</f>
        <v>#DIV/0!</v>
      </c>
      <c r="E116" s="13" t="e">
        <f>'[2]2026年度男装数据汇总分析--俄罗斯'!E116</f>
        <v>#DIV/0!</v>
      </c>
      <c r="F116" s="13" t="e">
        <f>'[2]2026年度男装数据汇总分析--俄罗斯'!F116</f>
        <v>#DIV/0!</v>
      </c>
      <c r="G116" s="13" t="e">
        <f>'[2]2026年度男装数据汇总分析--俄罗斯'!G116</f>
        <v>#DIV/0!</v>
      </c>
      <c r="H116" s="13" t="e">
        <f>'[2]2026年度男装数据汇总分析--俄罗斯'!H116</f>
        <v>#DIV/0!</v>
      </c>
      <c r="I116" s="13" t="e">
        <f>'[2]2026年度男装数据汇总分析--俄罗斯'!I116</f>
        <v>#DIV/0!</v>
      </c>
      <c r="J116" s="13" t="e">
        <f>'[2]2026年度男装数据汇总分析--俄罗斯'!J116</f>
        <v>#DIV/0!</v>
      </c>
      <c r="K116" s="13" t="e">
        <f>'[2]2026年度男装数据汇总分析--俄罗斯'!K116</f>
        <v>#DIV/0!</v>
      </c>
      <c r="L116" s="13" t="e">
        <f>'[2]2026年度男装数据汇总分析--俄罗斯'!L116</f>
        <v>#DIV/0!</v>
      </c>
      <c r="M116" s="13" t="e">
        <f>'[2]2026年度男装数据汇总分析--俄罗斯'!M116</f>
        <v>#DIV/0!</v>
      </c>
      <c r="N116" s="13" t="e">
        <f>'[2]2026年度男装数据汇总分析--俄罗斯'!N116</f>
        <v>#DIV/0!</v>
      </c>
      <c r="O116" s="13" t="e">
        <f>'[2]2026年度男装数据汇总分析--俄罗斯'!O116</f>
        <v>#DIV/0!</v>
      </c>
    </row>
    <row r="117" s="37" customFormat="1" spans="1:15">
      <c r="A117" s="23">
        <f>'[2]2026年度男装数据汇总分析--俄罗斯'!A117</f>
        <v>0</v>
      </c>
      <c r="B117" s="1" t="str">
        <f>'[2]2026年度男装数据汇总分析--俄罗斯'!B117</f>
        <v>利润率</v>
      </c>
      <c r="C117" s="13" t="e">
        <f>'[2]2026年度男装数据汇总分析--俄罗斯'!C117</f>
        <v>#DIV/0!</v>
      </c>
      <c r="D117" s="13" t="e">
        <f>'[2]2026年度男装数据汇总分析--俄罗斯'!D117</f>
        <v>#DIV/0!</v>
      </c>
      <c r="E117" s="13" t="e">
        <f>'[2]2026年度男装数据汇总分析--俄罗斯'!E117</f>
        <v>#DIV/0!</v>
      </c>
      <c r="F117" s="13" t="e">
        <f>'[2]2026年度男装数据汇总分析--俄罗斯'!F117</f>
        <v>#DIV/0!</v>
      </c>
      <c r="G117" s="13" t="e">
        <f>'[2]2026年度男装数据汇总分析--俄罗斯'!G117</f>
        <v>#DIV/0!</v>
      </c>
      <c r="H117" s="13" t="e">
        <f>'[2]2026年度男装数据汇总分析--俄罗斯'!H117</f>
        <v>#DIV/0!</v>
      </c>
      <c r="I117" s="13" t="e">
        <f>'[2]2026年度男装数据汇总分析--俄罗斯'!I117</f>
        <v>#DIV/0!</v>
      </c>
      <c r="J117" s="13" t="e">
        <f>'[2]2026年度男装数据汇总分析--俄罗斯'!J117</f>
        <v>#DIV/0!</v>
      </c>
      <c r="K117" s="13" t="e">
        <f>'[2]2026年度男装数据汇总分析--俄罗斯'!K117</f>
        <v>#DIV/0!</v>
      </c>
      <c r="L117" s="13" t="e">
        <f>'[2]2026年度男装数据汇总分析--俄罗斯'!L117</f>
        <v>#DIV/0!</v>
      </c>
      <c r="M117" s="13" t="e">
        <f>'[2]2026年度男装数据汇总分析--俄罗斯'!M117</f>
        <v>#DIV/0!</v>
      </c>
      <c r="N117" s="13" t="e">
        <f>'[2]2026年度男装数据汇总分析--俄罗斯'!N117</f>
        <v>#DIV/0!</v>
      </c>
      <c r="O117" s="13" t="e">
        <f>'[2]2026年度男装数据汇总分析--俄罗斯'!O117</f>
        <v>#DIV/0!</v>
      </c>
    </row>
    <row r="118" s="37" customFormat="1" spans="1:15">
      <c r="A118" s="1" t="str">
        <f>'[2]2026年度男装数据汇总分析--俄罗斯'!A118</f>
        <v>核心三款</v>
      </c>
      <c r="B118" s="39" t="str">
        <f>'[2]2026年度男装数据汇总分析--俄罗斯'!B118</f>
        <v>实际利润（人民币）</v>
      </c>
      <c r="C118" s="1" t="e">
        <f>'[2]2026年度男装数据汇总分析--俄罗斯'!C118</f>
        <v>#REF!</v>
      </c>
      <c r="D118" s="1">
        <f>'[2]2026年度男装数据汇总分析--俄罗斯'!D118</f>
        <v>0</v>
      </c>
      <c r="E118" s="1" t="e">
        <f>'[2]2026年度男装数据汇总分析--俄罗斯'!E118</f>
        <v>#REF!</v>
      </c>
      <c r="F118" s="1" t="e">
        <f>'[2]2026年度男装数据汇总分析--俄罗斯'!F118</f>
        <v>#REF!</v>
      </c>
      <c r="G118" s="1" t="e">
        <f>'[2]2026年度男装数据汇总分析--俄罗斯'!G118</f>
        <v>#REF!</v>
      </c>
      <c r="H118" s="1" t="e">
        <f>'[2]2026年度男装数据汇总分析--俄罗斯'!H118</f>
        <v>#REF!</v>
      </c>
      <c r="I118" s="1" t="e">
        <f>'[2]2026年度男装数据汇总分析--俄罗斯'!I118</f>
        <v>#REF!</v>
      </c>
      <c r="J118" s="1" t="e">
        <f>'[2]2026年度男装数据汇总分析--俄罗斯'!J118</f>
        <v>#REF!</v>
      </c>
      <c r="K118" s="1" t="e">
        <f>'[2]2026年度男装数据汇总分析--俄罗斯'!K118</f>
        <v>#REF!</v>
      </c>
      <c r="L118" s="1" t="e">
        <f>'[2]2026年度男装数据汇总分析--俄罗斯'!L118</f>
        <v>#REF!</v>
      </c>
      <c r="M118" s="1" t="e">
        <f>'[2]2026年度男装数据汇总分析--俄罗斯'!M118</f>
        <v>#REF!</v>
      </c>
      <c r="N118" s="1" t="e">
        <f>'[2]2026年度男装数据汇总分析--俄罗斯'!N118</f>
        <v>#REF!</v>
      </c>
      <c r="O118" s="1" t="e">
        <f>'[2]2026年度男装数据汇总分析--俄罗斯'!O118</f>
        <v>#REF!</v>
      </c>
    </row>
    <row r="119" s="37" customFormat="1" spans="1:15">
      <c r="A119" s="1">
        <f>'[2]2026年度男装数据汇总分析--俄罗斯'!A119</f>
        <v>0</v>
      </c>
      <c r="B119" s="39" t="str">
        <f>'[2]2026年度男装数据汇总分析--俄罗斯'!B119</f>
        <v>销量完成</v>
      </c>
      <c r="C119" s="1" t="e">
        <f>'[2]2026年度男装数据汇总分析--俄罗斯'!C119</f>
        <v>#REF!</v>
      </c>
      <c r="D119" s="1">
        <f>'[2]2026年度男装数据汇总分析--俄罗斯'!D119</f>
        <v>0</v>
      </c>
      <c r="E119" s="1" t="e">
        <f>'[2]2026年度男装数据汇总分析--俄罗斯'!E119</f>
        <v>#REF!</v>
      </c>
      <c r="F119" s="1" t="e">
        <f>'[2]2026年度男装数据汇总分析--俄罗斯'!F119</f>
        <v>#REF!</v>
      </c>
      <c r="G119" s="1" t="e">
        <f>'[2]2026年度男装数据汇总分析--俄罗斯'!G119</f>
        <v>#REF!</v>
      </c>
      <c r="H119" s="1" t="e">
        <f>'[2]2026年度男装数据汇总分析--俄罗斯'!H119</f>
        <v>#REF!</v>
      </c>
      <c r="I119" s="1" t="e">
        <f>'[2]2026年度男装数据汇总分析--俄罗斯'!I119</f>
        <v>#REF!</v>
      </c>
      <c r="J119" s="1" t="e">
        <f>'[2]2026年度男装数据汇总分析--俄罗斯'!J119</f>
        <v>#REF!</v>
      </c>
      <c r="K119" s="1" t="e">
        <f>'[2]2026年度男装数据汇总分析--俄罗斯'!K119</f>
        <v>#REF!</v>
      </c>
      <c r="L119" s="1" t="e">
        <f>'[2]2026年度男装数据汇总分析--俄罗斯'!L119</f>
        <v>#REF!</v>
      </c>
      <c r="M119" s="1" t="e">
        <f>'[2]2026年度男装数据汇总分析--俄罗斯'!M119</f>
        <v>#REF!</v>
      </c>
      <c r="N119" s="1" t="e">
        <f>'[2]2026年度男装数据汇总分析--俄罗斯'!N119</f>
        <v>#REF!</v>
      </c>
      <c r="O119" s="1" t="e">
        <f>'[2]2026年度男装数据汇总分析--俄罗斯'!O119</f>
        <v>#REF!</v>
      </c>
    </row>
    <row r="120" s="37" customFormat="1" spans="1:15">
      <c r="A120" s="1">
        <f>'[2]2026年度男装数据汇总分析--俄罗斯'!A120</f>
        <v>0</v>
      </c>
      <c r="B120" s="39" t="str">
        <f>'[2]2026年度男装数据汇总分析--俄罗斯'!B120</f>
        <v>实销完成</v>
      </c>
      <c r="C120" s="1" t="e">
        <f>'[2]2026年度男装数据汇总分析--俄罗斯'!C120</f>
        <v>#REF!</v>
      </c>
      <c r="D120" s="1">
        <f>'[2]2026年度男装数据汇总分析--俄罗斯'!D120</f>
        <v>0</v>
      </c>
      <c r="E120" s="1" t="e">
        <f>'[2]2026年度男装数据汇总分析--俄罗斯'!E120</f>
        <v>#REF!</v>
      </c>
      <c r="F120" s="1" t="e">
        <f>'[2]2026年度男装数据汇总分析--俄罗斯'!F120</f>
        <v>#REF!</v>
      </c>
      <c r="G120" s="1" t="e">
        <f>'[2]2026年度男装数据汇总分析--俄罗斯'!G120</f>
        <v>#REF!</v>
      </c>
      <c r="H120" s="1" t="e">
        <f>'[2]2026年度男装数据汇总分析--俄罗斯'!H120</f>
        <v>#REF!</v>
      </c>
      <c r="I120" s="1" t="e">
        <f>'[2]2026年度男装数据汇总分析--俄罗斯'!I120</f>
        <v>#REF!</v>
      </c>
      <c r="J120" s="1" t="e">
        <f>'[2]2026年度男装数据汇总分析--俄罗斯'!J120</f>
        <v>#REF!</v>
      </c>
      <c r="K120" s="1" t="e">
        <f>'[2]2026年度男装数据汇总分析--俄罗斯'!K120</f>
        <v>#REF!</v>
      </c>
      <c r="L120" s="1" t="e">
        <f>'[2]2026年度男装数据汇总分析--俄罗斯'!L120</f>
        <v>#REF!</v>
      </c>
      <c r="M120" s="1" t="e">
        <f>'[2]2026年度男装数据汇总分析--俄罗斯'!M120</f>
        <v>#REF!</v>
      </c>
      <c r="N120" s="1" t="e">
        <f>'[2]2026年度男装数据汇总分析--俄罗斯'!N120</f>
        <v>#REF!</v>
      </c>
      <c r="O120" s="1" t="e">
        <f>'[2]2026年度男装数据汇总分析--俄罗斯'!O120</f>
        <v>#REF!</v>
      </c>
    </row>
    <row r="121" s="37" customFormat="1" spans="1:15">
      <c r="A121" s="1">
        <f>'[2]2026年度男装数据汇总分析--俄罗斯'!A121</f>
        <v>0</v>
      </c>
      <c r="B121" s="39" t="str">
        <f>'[2]2026年度男装数据汇总分析--俄罗斯'!B121</f>
        <v>GMV完成</v>
      </c>
      <c r="C121" s="1" t="e">
        <f>'[2]2026年度男装数据汇总分析--俄罗斯'!C121</f>
        <v>#REF!</v>
      </c>
      <c r="D121" s="1">
        <f>'[2]2026年度男装数据汇总分析--俄罗斯'!D121</f>
        <v>0</v>
      </c>
      <c r="E121" s="1" t="e">
        <f>'[2]2026年度男装数据汇总分析--俄罗斯'!E121</f>
        <v>#REF!</v>
      </c>
      <c r="F121" s="1" t="e">
        <f>'[2]2026年度男装数据汇总分析--俄罗斯'!F121</f>
        <v>#REF!</v>
      </c>
      <c r="G121" s="1" t="e">
        <f>'[2]2026年度男装数据汇总分析--俄罗斯'!G121</f>
        <v>#REF!</v>
      </c>
      <c r="H121" s="1" t="e">
        <f>'[2]2026年度男装数据汇总分析--俄罗斯'!H121</f>
        <v>#REF!</v>
      </c>
      <c r="I121" s="1" t="e">
        <f>'[2]2026年度男装数据汇总分析--俄罗斯'!I121</f>
        <v>#REF!</v>
      </c>
      <c r="J121" s="1" t="e">
        <f>'[2]2026年度男装数据汇总分析--俄罗斯'!J121</f>
        <v>#REF!</v>
      </c>
      <c r="K121" s="1" t="e">
        <f>'[2]2026年度男装数据汇总分析--俄罗斯'!K121</f>
        <v>#REF!</v>
      </c>
      <c r="L121" s="1" t="e">
        <f>'[2]2026年度男装数据汇总分析--俄罗斯'!L121</f>
        <v>#REF!</v>
      </c>
      <c r="M121" s="1" t="e">
        <f>'[2]2026年度男装数据汇总分析--俄罗斯'!M121</f>
        <v>#REF!</v>
      </c>
      <c r="N121" s="1" t="e">
        <f>'[2]2026年度男装数据汇总分析--俄罗斯'!N121</f>
        <v>#REF!</v>
      </c>
      <c r="O121" s="1" t="e">
        <f>'[2]2026年度男装数据汇总分析--俄罗斯'!O121</f>
        <v>#REF!</v>
      </c>
    </row>
    <row r="122" s="37" customFormat="1" spans="1:15">
      <c r="A122" s="1">
        <f>'[2]2026年度男装数据汇总分析--俄罗斯'!A122</f>
        <v>0</v>
      </c>
      <c r="B122" s="39" t="str">
        <f>'[2]2026年度男装数据汇总分析--俄罗斯'!B122</f>
        <v>GSV完成</v>
      </c>
      <c r="C122" s="1" t="e">
        <f>'[2]2026年度男装数据汇总分析--俄罗斯'!C122</f>
        <v>#REF!</v>
      </c>
      <c r="D122" s="1">
        <f>'[2]2026年度男装数据汇总分析--俄罗斯'!D122</f>
        <v>0</v>
      </c>
      <c r="E122" s="1" t="e">
        <f>'[2]2026年度男装数据汇总分析--俄罗斯'!E122</f>
        <v>#REF!</v>
      </c>
      <c r="F122" s="1" t="e">
        <f>'[2]2026年度男装数据汇总分析--俄罗斯'!F122</f>
        <v>#REF!</v>
      </c>
      <c r="G122" s="1" t="e">
        <f>'[2]2026年度男装数据汇总分析--俄罗斯'!G122</f>
        <v>#REF!</v>
      </c>
      <c r="H122" s="1" t="e">
        <f>'[2]2026年度男装数据汇总分析--俄罗斯'!H122</f>
        <v>#REF!</v>
      </c>
      <c r="I122" s="1" t="e">
        <f>'[2]2026年度男装数据汇总分析--俄罗斯'!I122</f>
        <v>#REF!</v>
      </c>
      <c r="J122" s="1" t="e">
        <f>'[2]2026年度男装数据汇总分析--俄罗斯'!J122</f>
        <v>#REF!</v>
      </c>
      <c r="K122" s="1" t="e">
        <f>'[2]2026年度男装数据汇总分析--俄罗斯'!K122</f>
        <v>#REF!</v>
      </c>
      <c r="L122" s="1" t="e">
        <f>'[2]2026年度男装数据汇总分析--俄罗斯'!L122</f>
        <v>#REF!</v>
      </c>
      <c r="M122" s="1" t="e">
        <f>'[2]2026年度男装数据汇总分析--俄罗斯'!M122</f>
        <v>#REF!</v>
      </c>
      <c r="N122" s="1" t="e">
        <f>'[2]2026年度男装数据汇总分析--俄罗斯'!N122</f>
        <v>#REF!</v>
      </c>
      <c r="O122" s="1" t="e">
        <f>'[2]2026年度男装数据汇总分析--俄罗斯'!O122</f>
        <v>#REF!</v>
      </c>
    </row>
    <row r="123" s="37" customFormat="1" spans="1:15">
      <c r="A123" s="1">
        <f>'[2]2026年度男装数据汇总分析--俄罗斯'!A123</f>
        <v>0</v>
      </c>
      <c r="B123" s="39" t="str">
        <f>'[2]2026年度男装数据汇总分析--俄罗斯'!B123</f>
        <v>退款率</v>
      </c>
      <c r="C123" s="13" t="e">
        <f>'[2]2026年度男装数据汇总分析--俄罗斯'!C123</f>
        <v>#REF!</v>
      </c>
      <c r="D123" s="13" t="e">
        <f>'[2]2026年度男装数据汇总分析--俄罗斯'!D123</f>
        <v>#DIV/0!</v>
      </c>
      <c r="E123" s="13" t="e">
        <f>'[2]2026年度男装数据汇总分析--俄罗斯'!E123</f>
        <v>#REF!</v>
      </c>
      <c r="F123" s="13" t="e">
        <f>'[2]2026年度男装数据汇总分析--俄罗斯'!F123</f>
        <v>#REF!</v>
      </c>
      <c r="G123" s="13" t="e">
        <f>'[2]2026年度男装数据汇总分析--俄罗斯'!G123</f>
        <v>#REF!</v>
      </c>
      <c r="H123" s="13" t="e">
        <f>'[2]2026年度男装数据汇总分析--俄罗斯'!H123</f>
        <v>#REF!</v>
      </c>
      <c r="I123" s="13" t="e">
        <f>'[2]2026年度男装数据汇总分析--俄罗斯'!I123</f>
        <v>#REF!</v>
      </c>
      <c r="J123" s="13" t="e">
        <f>'[2]2026年度男装数据汇总分析--俄罗斯'!J123</f>
        <v>#REF!</v>
      </c>
      <c r="K123" s="13" t="e">
        <f>'[2]2026年度男装数据汇总分析--俄罗斯'!K123</f>
        <v>#REF!</v>
      </c>
      <c r="L123" s="13" t="e">
        <f>'[2]2026年度男装数据汇总分析--俄罗斯'!L123</f>
        <v>#REF!</v>
      </c>
      <c r="M123" s="13" t="e">
        <f>'[2]2026年度男装数据汇总分析--俄罗斯'!M123</f>
        <v>#REF!</v>
      </c>
      <c r="N123" s="13" t="e">
        <f>'[2]2026年度男装数据汇总分析--俄罗斯'!N123</f>
        <v>#REF!</v>
      </c>
      <c r="O123" s="13" t="e">
        <f>'[2]2026年度男装数据汇总分析--俄罗斯'!O123</f>
        <v>#REF!</v>
      </c>
    </row>
    <row r="124" s="37" customFormat="1" spans="1:15">
      <c r="A124" s="1">
        <f>'[2]2026年度男装数据汇总分析--俄罗斯'!A124</f>
        <v>0</v>
      </c>
      <c r="B124" s="39" t="str">
        <f>'[2]2026年度男装数据汇总分析--俄罗斯'!B124</f>
        <v>退货率</v>
      </c>
      <c r="C124" s="13" t="e">
        <f>'[2]2026年度男装数据汇总分析--俄罗斯'!C124</f>
        <v>#REF!</v>
      </c>
      <c r="D124" s="13" t="e">
        <f>'[2]2026年度男装数据汇总分析--俄罗斯'!D124</f>
        <v>#DIV/0!</v>
      </c>
      <c r="E124" s="13" t="e">
        <f>'[2]2026年度男装数据汇总分析--俄罗斯'!E124</f>
        <v>#REF!</v>
      </c>
      <c r="F124" s="13" t="e">
        <f>'[2]2026年度男装数据汇总分析--俄罗斯'!F124</f>
        <v>#REF!</v>
      </c>
      <c r="G124" s="13" t="e">
        <f>'[2]2026年度男装数据汇总分析--俄罗斯'!G124</f>
        <v>#REF!</v>
      </c>
      <c r="H124" s="13" t="e">
        <f>'[2]2026年度男装数据汇总分析--俄罗斯'!H124</f>
        <v>#REF!</v>
      </c>
      <c r="I124" s="13" t="e">
        <f>'[2]2026年度男装数据汇总分析--俄罗斯'!I124</f>
        <v>#REF!</v>
      </c>
      <c r="J124" s="13" t="e">
        <f>'[2]2026年度男装数据汇总分析--俄罗斯'!J124</f>
        <v>#REF!</v>
      </c>
      <c r="K124" s="13" t="e">
        <f>'[2]2026年度男装数据汇总分析--俄罗斯'!K124</f>
        <v>#REF!</v>
      </c>
      <c r="L124" s="13" t="e">
        <f>'[2]2026年度男装数据汇总分析--俄罗斯'!L124</f>
        <v>#REF!</v>
      </c>
      <c r="M124" s="13" t="e">
        <f>'[2]2026年度男装数据汇总分析--俄罗斯'!M124</f>
        <v>#REF!</v>
      </c>
      <c r="N124" s="13" t="e">
        <f>'[2]2026年度男装数据汇总分析--俄罗斯'!N124</f>
        <v>#REF!</v>
      </c>
      <c r="O124" s="13" t="e">
        <f>'[2]2026年度男装数据汇总分析--俄罗斯'!O124</f>
        <v>#REF!</v>
      </c>
    </row>
    <row r="125" s="37" customFormat="1" spans="1:15">
      <c r="A125" s="1">
        <f>'[2]2026年度男装数据汇总分析--俄罗斯'!A125</f>
        <v>0</v>
      </c>
      <c r="B125" s="39" t="str">
        <f>'[2]2026年度男装数据汇总分析--俄罗斯'!B125</f>
        <v>利润率</v>
      </c>
      <c r="C125" s="13" t="e">
        <f>'[2]2026年度男装数据汇总分析--俄罗斯'!C125</f>
        <v>#REF!</v>
      </c>
      <c r="D125" s="13" t="e">
        <f>'[2]2026年度男装数据汇总分析--俄罗斯'!D125</f>
        <v>#DIV/0!</v>
      </c>
      <c r="E125" s="13" t="e">
        <f>'[2]2026年度男装数据汇总分析--俄罗斯'!E125</f>
        <v>#REF!</v>
      </c>
      <c r="F125" s="13" t="e">
        <f>'[2]2026年度男装数据汇总分析--俄罗斯'!F125</f>
        <v>#REF!</v>
      </c>
      <c r="G125" s="13" t="e">
        <f>'[2]2026年度男装数据汇总分析--俄罗斯'!G125</f>
        <v>#REF!</v>
      </c>
      <c r="H125" s="13" t="e">
        <f>'[2]2026年度男装数据汇总分析--俄罗斯'!H125</f>
        <v>#REF!</v>
      </c>
      <c r="I125" s="13" t="e">
        <f>'[2]2026年度男装数据汇总分析--俄罗斯'!I125</f>
        <v>#REF!</v>
      </c>
      <c r="J125" s="13" t="e">
        <f>'[2]2026年度男装数据汇总分析--俄罗斯'!J125</f>
        <v>#REF!</v>
      </c>
      <c r="K125" s="13" t="e">
        <f>'[2]2026年度男装数据汇总分析--俄罗斯'!K125</f>
        <v>#REF!</v>
      </c>
      <c r="L125" s="13" t="e">
        <f>'[2]2026年度男装数据汇总分析--俄罗斯'!L125</f>
        <v>#REF!</v>
      </c>
      <c r="M125" s="13" t="e">
        <f>'[2]2026年度男装数据汇总分析--俄罗斯'!M125</f>
        <v>#REF!</v>
      </c>
      <c r="N125" s="13" t="e">
        <f>'[2]2026年度男装数据汇总分析--俄罗斯'!N125</f>
        <v>#REF!</v>
      </c>
      <c r="O125" s="13" t="e">
        <f>'[2]2026年度男装数据汇总分析--俄罗斯'!O125</f>
        <v>#REF!</v>
      </c>
    </row>
    <row r="126" spans="1:15">
      <c r="A126" s="37">
        <f>'[2]2026年度男装数据汇总分析--俄罗斯'!A126</f>
        <v>0</v>
      </c>
      <c r="B126" s="37">
        <f>'[2]2026年度男装数据汇总分析--俄罗斯'!B126</f>
        <v>0</v>
      </c>
      <c r="C126" s="37">
        <f>'[2]2026年度男装数据汇总分析--俄罗斯'!C126</f>
        <v>0</v>
      </c>
      <c r="D126" s="37">
        <f>'[2]2026年度男装数据汇总分析--俄罗斯'!D126</f>
        <v>0</v>
      </c>
      <c r="E126" s="37">
        <f>'[2]2026年度男装数据汇总分析--俄罗斯'!E126</f>
        <v>0</v>
      </c>
      <c r="F126" s="37">
        <f>'[2]2026年度男装数据汇总分析--俄罗斯'!F126</f>
        <v>0</v>
      </c>
      <c r="G126" s="37">
        <f>'[2]2026年度男装数据汇总分析--俄罗斯'!G126</f>
        <v>0</v>
      </c>
      <c r="H126" s="37">
        <f>'[2]2026年度男装数据汇总分析--俄罗斯'!H126</f>
        <v>0</v>
      </c>
      <c r="I126" s="37">
        <f>'[2]2026年度男装数据汇总分析--俄罗斯'!I126</f>
        <v>0</v>
      </c>
      <c r="J126" s="37">
        <f>'[2]2026年度男装数据汇总分析--俄罗斯'!J126</f>
        <v>0</v>
      </c>
      <c r="K126" s="37">
        <f>'[2]2026年度男装数据汇总分析--俄罗斯'!K126</f>
        <v>0</v>
      </c>
      <c r="L126" s="37">
        <f>'[2]2026年度男装数据汇总分析--俄罗斯'!L126</f>
        <v>0</v>
      </c>
      <c r="M126" s="37">
        <f>'[2]2026年度男装数据汇总分析--俄罗斯'!M126</f>
        <v>0</v>
      </c>
      <c r="N126" s="37">
        <f>'[2]2026年度男装数据汇总分析--俄罗斯'!N126</f>
        <v>0</v>
      </c>
      <c r="O126" s="37">
        <f>'[2]2026年度男装数据汇总分析--俄罗斯'!O126</f>
        <v>0</v>
      </c>
    </row>
    <row r="127" spans="1:15">
      <c r="A127" s="37">
        <f>'[2]2026年度男装数据汇总分析--俄罗斯'!A127</f>
        <v>0</v>
      </c>
      <c r="B127" s="37">
        <f>'[2]2026年度男装数据汇总分析--俄罗斯'!B127</f>
        <v>0</v>
      </c>
      <c r="C127" s="37">
        <f>'[2]2026年度男装数据汇总分析--俄罗斯'!C127</f>
        <v>0</v>
      </c>
      <c r="D127" s="37">
        <f>'[2]2026年度男装数据汇总分析--俄罗斯'!D127</f>
        <v>0</v>
      </c>
      <c r="E127" s="37">
        <f>'[2]2026年度男装数据汇总分析--俄罗斯'!E127</f>
        <v>0</v>
      </c>
      <c r="F127" s="37">
        <f>'[2]2026年度男装数据汇总分析--俄罗斯'!F127</f>
        <v>0</v>
      </c>
      <c r="G127" s="37">
        <f>'[2]2026年度男装数据汇总分析--俄罗斯'!G127</f>
        <v>0</v>
      </c>
      <c r="H127" s="37">
        <f>'[2]2026年度男装数据汇总分析--俄罗斯'!H127</f>
        <v>0</v>
      </c>
      <c r="I127" s="37">
        <f>'[2]2026年度男装数据汇总分析--俄罗斯'!I127</f>
        <v>0</v>
      </c>
      <c r="J127" s="37">
        <f>'[2]2026年度男装数据汇总分析--俄罗斯'!J127</f>
        <v>0</v>
      </c>
      <c r="K127" s="37">
        <f>'[2]2026年度男装数据汇总分析--俄罗斯'!K127</f>
        <v>0</v>
      </c>
      <c r="L127" s="37">
        <f>'[2]2026年度男装数据汇总分析--俄罗斯'!L127</f>
        <v>0</v>
      </c>
      <c r="M127" s="37">
        <f>'[2]2026年度男装数据汇总分析--俄罗斯'!M127</f>
        <v>0</v>
      </c>
      <c r="N127" s="37">
        <f>'[2]2026年度男装数据汇总分析--俄罗斯'!N127</f>
        <v>0</v>
      </c>
      <c r="O127" s="37">
        <f>'[2]2026年度男装数据汇总分析--俄罗斯'!O127</f>
        <v>0</v>
      </c>
    </row>
    <row r="128" spans="1:15">
      <c r="A128" s="37">
        <f>'[2]2026年度男装数据汇总分析--俄罗斯'!A128</f>
        <v>0</v>
      </c>
      <c r="B128" s="37">
        <f>'[2]2026年度男装数据汇总分析--俄罗斯'!B128</f>
        <v>0</v>
      </c>
      <c r="C128" s="37">
        <f>'[2]2026年度男装数据汇总分析--俄罗斯'!C128</f>
        <v>0</v>
      </c>
      <c r="D128" s="37">
        <f>'[2]2026年度男装数据汇总分析--俄罗斯'!D128</f>
        <v>0</v>
      </c>
      <c r="E128" s="37">
        <f>'[2]2026年度男装数据汇总分析--俄罗斯'!E128</f>
        <v>0</v>
      </c>
      <c r="F128" s="37">
        <f>'[2]2026年度男装数据汇总分析--俄罗斯'!F128</f>
        <v>0</v>
      </c>
      <c r="G128" s="37">
        <f>'[2]2026年度男装数据汇总分析--俄罗斯'!G128</f>
        <v>0</v>
      </c>
      <c r="H128" s="37">
        <f>'[2]2026年度男装数据汇总分析--俄罗斯'!H128</f>
        <v>0</v>
      </c>
      <c r="I128" s="37">
        <f>'[2]2026年度男装数据汇总分析--俄罗斯'!I128</f>
        <v>0</v>
      </c>
      <c r="J128" s="37">
        <f>'[2]2026年度男装数据汇总分析--俄罗斯'!J128</f>
        <v>0</v>
      </c>
      <c r="K128" s="37">
        <f>'[2]2026年度男装数据汇总分析--俄罗斯'!K128</f>
        <v>0</v>
      </c>
      <c r="L128" s="37">
        <f>'[2]2026年度男装数据汇总分析--俄罗斯'!L128</f>
        <v>0</v>
      </c>
      <c r="M128" s="37">
        <f>'[2]2026年度男装数据汇总分析--俄罗斯'!M128</f>
        <v>0</v>
      </c>
      <c r="N128" s="37">
        <f>'[2]2026年度男装数据汇总分析--俄罗斯'!N128</f>
        <v>0</v>
      </c>
      <c r="O128" s="37">
        <f>'[2]2026年度男装数据汇总分析--俄罗斯'!O128</f>
        <v>0</v>
      </c>
    </row>
    <row r="129" spans="1:15">
      <c r="A129" s="37">
        <f>'[2]2026年度男装数据汇总分析--俄罗斯'!A129</f>
        <v>0</v>
      </c>
      <c r="B129" s="37">
        <f>'[2]2026年度男装数据汇总分析--俄罗斯'!B129</f>
        <v>0</v>
      </c>
      <c r="C129" s="37">
        <f>'[2]2026年度男装数据汇总分析--俄罗斯'!C129</f>
        <v>0</v>
      </c>
      <c r="D129" s="37">
        <f>'[2]2026年度男装数据汇总分析--俄罗斯'!D129</f>
        <v>0</v>
      </c>
      <c r="E129" s="37">
        <f>'[2]2026年度男装数据汇总分析--俄罗斯'!E129</f>
        <v>0</v>
      </c>
      <c r="F129" s="37">
        <f>'[2]2026年度男装数据汇总分析--俄罗斯'!F129</f>
        <v>0</v>
      </c>
      <c r="G129" s="37">
        <f>'[2]2026年度男装数据汇总分析--俄罗斯'!G129</f>
        <v>0</v>
      </c>
      <c r="H129" s="37">
        <f>'[2]2026年度男装数据汇总分析--俄罗斯'!H129</f>
        <v>0</v>
      </c>
      <c r="I129" s="37">
        <f>'[2]2026年度男装数据汇总分析--俄罗斯'!I129</f>
        <v>0</v>
      </c>
      <c r="J129" s="37">
        <f>'[2]2026年度男装数据汇总分析--俄罗斯'!J129</f>
        <v>0</v>
      </c>
      <c r="K129" s="37">
        <f>'[2]2026年度男装数据汇总分析--俄罗斯'!K129</f>
        <v>0</v>
      </c>
      <c r="L129" s="37">
        <f>'[2]2026年度男装数据汇总分析--俄罗斯'!L129</f>
        <v>0</v>
      </c>
      <c r="M129" s="37">
        <f>'[2]2026年度男装数据汇总分析--俄罗斯'!M129</f>
        <v>0</v>
      </c>
      <c r="N129" s="37">
        <f>'[2]2026年度男装数据汇总分析--俄罗斯'!N129</f>
        <v>0</v>
      </c>
      <c r="O129" s="37">
        <f>'[2]2026年度男装数据汇总分析--俄罗斯'!O129</f>
        <v>0</v>
      </c>
    </row>
    <row r="130" spans="1:15">
      <c r="A130" s="37">
        <f>'[2]2026年度男装数据汇总分析--俄罗斯'!A130</f>
        <v>0</v>
      </c>
      <c r="B130" s="37">
        <f>'[2]2026年度男装数据汇总分析--俄罗斯'!B130</f>
        <v>0</v>
      </c>
      <c r="C130" s="37">
        <f>'[2]2026年度男装数据汇总分析--俄罗斯'!C130</f>
        <v>0</v>
      </c>
      <c r="D130" s="37">
        <f>'[2]2026年度男装数据汇总分析--俄罗斯'!D130</f>
        <v>0</v>
      </c>
      <c r="E130" s="37">
        <f>'[2]2026年度男装数据汇总分析--俄罗斯'!E130</f>
        <v>0</v>
      </c>
      <c r="F130" s="37">
        <f>'[2]2026年度男装数据汇总分析--俄罗斯'!F130</f>
        <v>0</v>
      </c>
      <c r="G130" s="37">
        <f>'[2]2026年度男装数据汇总分析--俄罗斯'!G130</f>
        <v>0</v>
      </c>
      <c r="H130" s="37">
        <f>'[2]2026年度男装数据汇总分析--俄罗斯'!H130</f>
        <v>0</v>
      </c>
      <c r="I130" s="37">
        <f>'[2]2026年度男装数据汇总分析--俄罗斯'!I130</f>
        <v>0</v>
      </c>
      <c r="J130" s="37">
        <f>'[2]2026年度男装数据汇总分析--俄罗斯'!J130</f>
        <v>0</v>
      </c>
      <c r="K130" s="37">
        <f>'[2]2026年度男装数据汇总分析--俄罗斯'!K130</f>
        <v>0</v>
      </c>
      <c r="L130" s="37">
        <f>'[2]2026年度男装数据汇总分析--俄罗斯'!L130</f>
        <v>0</v>
      </c>
      <c r="M130" s="37">
        <f>'[2]2026年度男装数据汇总分析--俄罗斯'!M130</f>
        <v>0</v>
      </c>
      <c r="N130" s="37">
        <f>'[2]2026年度男装数据汇总分析--俄罗斯'!N130</f>
        <v>0</v>
      </c>
      <c r="O130" s="37">
        <f>'[2]2026年度男装数据汇总分析--俄罗斯'!O130</f>
        <v>0</v>
      </c>
    </row>
    <row r="131" spans="1:15">
      <c r="A131" s="37">
        <f>'[2]2026年度男装数据汇总分析--俄罗斯'!A131</f>
        <v>0</v>
      </c>
      <c r="B131" s="37">
        <f>'[2]2026年度男装数据汇总分析--俄罗斯'!B131</f>
        <v>0</v>
      </c>
      <c r="C131" s="37">
        <f>'[2]2026年度男装数据汇总分析--俄罗斯'!C131</f>
        <v>0</v>
      </c>
      <c r="D131" s="37">
        <f>'[2]2026年度男装数据汇总分析--俄罗斯'!D131</f>
        <v>0</v>
      </c>
      <c r="E131" s="37">
        <f>'[2]2026年度男装数据汇总分析--俄罗斯'!E131</f>
        <v>0</v>
      </c>
      <c r="F131" s="37">
        <f>'[2]2026年度男装数据汇总分析--俄罗斯'!F131</f>
        <v>0</v>
      </c>
      <c r="G131" s="37">
        <f>'[2]2026年度男装数据汇总分析--俄罗斯'!G131</f>
        <v>0</v>
      </c>
      <c r="H131" s="37">
        <f>'[2]2026年度男装数据汇总分析--俄罗斯'!H131</f>
        <v>0</v>
      </c>
      <c r="I131" s="37">
        <f>'[2]2026年度男装数据汇总分析--俄罗斯'!I131</f>
        <v>0</v>
      </c>
      <c r="J131" s="37">
        <f>'[2]2026年度男装数据汇总分析--俄罗斯'!J131</f>
        <v>0</v>
      </c>
      <c r="K131" s="37">
        <f>'[2]2026年度男装数据汇总分析--俄罗斯'!K131</f>
        <v>0</v>
      </c>
      <c r="L131" s="37">
        <f>'[2]2026年度男装数据汇总分析--俄罗斯'!L131</f>
        <v>0</v>
      </c>
      <c r="M131" s="37">
        <f>'[2]2026年度男装数据汇总分析--俄罗斯'!M131</f>
        <v>0</v>
      </c>
      <c r="N131" s="37">
        <f>'[2]2026年度男装数据汇总分析--俄罗斯'!N131</f>
        <v>0</v>
      </c>
      <c r="O131" s="37">
        <f>'[2]2026年度男装数据汇总分析--俄罗斯'!O131</f>
        <v>0</v>
      </c>
    </row>
    <row r="132" spans="1:15">
      <c r="A132" s="37">
        <f>'[2]2026年度男装数据汇总分析--俄罗斯'!A132</f>
        <v>0</v>
      </c>
      <c r="B132" s="37">
        <f>'[2]2026年度男装数据汇总分析--俄罗斯'!B132</f>
        <v>0</v>
      </c>
      <c r="C132" s="37">
        <f>'[2]2026年度男装数据汇总分析--俄罗斯'!C132</f>
        <v>0</v>
      </c>
      <c r="D132" s="37">
        <f>'[2]2026年度男装数据汇总分析--俄罗斯'!D132</f>
        <v>0</v>
      </c>
      <c r="E132" s="37">
        <f>'[2]2026年度男装数据汇总分析--俄罗斯'!E132</f>
        <v>0</v>
      </c>
      <c r="F132" s="37">
        <f>'[2]2026年度男装数据汇总分析--俄罗斯'!F132</f>
        <v>0</v>
      </c>
      <c r="G132" s="37">
        <f>'[2]2026年度男装数据汇总分析--俄罗斯'!G132</f>
        <v>0</v>
      </c>
      <c r="H132" s="37">
        <f>'[2]2026年度男装数据汇总分析--俄罗斯'!H132</f>
        <v>0</v>
      </c>
      <c r="I132" s="37">
        <f>'[2]2026年度男装数据汇总分析--俄罗斯'!I132</f>
        <v>0</v>
      </c>
      <c r="J132" s="37">
        <f>'[2]2026年度男装数据汇总分析--俄罗斯'!J132</f>
        <v>0</v>
      </c>
      <c r="K132" s="37">
        <f>'[2]2026年度男装数据汇总分析--俄罗斯'!K132</f>
        <v>0</v>
      </c>
      <c r="L132" s="37">
        <f>'[2]2026年度男装数据汇总分析--俄罗斯'!L132</f>
        <v>0</v>
      </c>
      <c r="M132" s="37">
        <f>'[2]2026年度男装数据汇总分析--俄罗斯'!M132</f>
        <v>0</v>
      </c>
      <c r="N132" s="37">
        <f>'[2]2026年度男装数据汇总分析--俄罗斯'!N132</f>
        <v>0</v>
      </c>
      <c r="O132" s="37">
        <f>'[2]2026年度男装数据汇总分析--俄罗斯'!O132</f>
        <v>0</v>
      </c>
    </row>
    <row r="133" spans="1:15">
      <c r="A133" s="37">
        <f>'[2]2026年度男装数据汇总分析--俄罗斯'!A133</f>
        <v>0</v>
      </c>
      <c r="B133" s="37">
        <f>'[2]2026年度男装数据汇总分析--俄罗斯'!B133</f>
        <v>0</v>
      </c>
      <c r="C133" s="37">
        <f>'[2]2026年度男装数据汇总分析--俄罗斯'!C133</f>
        <v>0</v>
      </c>
      <c r="D133" s="37">
        <f>'[2]2026年度男装数据汇总分析--俄罗斯'!D133</f>
        <v>0</v>
      </c>
      <c r="E133" s="37">
        <f>'[2]2026年度男装数据汇总分析--俄罗斯'!E133</f>
        <v>0</v>
      </c>
      <c r="F133" s="37">
        <f>'[2]2026年度男装数据汇总分析--俄罗斯'!F133</f>
        <v>0</v>
      </c>
      <c r="G133" s="37">
        <f>'[2]2026年度男装数据汇总分析--俄罗斯'!G133</f>
        <v>0</v>
      </c>
      <c r="H133" s="37">
        <f>'[2]2026年度男装数据汇总分析--俄罗斯'!H133</f>
        <v>0</v>
      </c>
      <c r="I133" s="37">
        <f>'[2]2026年度男装数据汇总分析--俄罗斯'!I133</f>
        <v>0</v>
      </c>
      <c r="J133" s="37">
        <f>'[2]2026年度男装数据汇总分析--俄罗斯'!J133</f>
        <v>0</v>
      </c>
      <c r="K133" s="37">
        <f>'[2]2026年度男装数据汇总分析--俄罗斯'!K133</f>
        <v>0</v>
      </c>
      <c r="L133" s="37">
        <f>'[2]2026年度男装数据汇总分析--俄罗斯'!L133</f>
        <v>0</v>
      </c>
      <c r="M133" s="37">
        <f>'[2]2026年度男装数据汇总分析--俄罗斯'!M133</f>
        <v>0</v>
      </c>
      <c r="N133" s="37">
        <f>'[2]2026年度男装数据汇总分析--俄罗斯'!N133</f>
        <v>0</v>
      </c>
      <c r="O133" s="37">
        <f>'[2]2026年度男装数据汇总分析--俄罗斯'!O133</f>
        <v>0</v>
      </c>
    </row>
    <row r="134" spans="1:15">
      <c r="A134" s="37">
        <f>'[2]2026年度男装数据汇总分析--俄罗斯'!A134</f>
        <v>0</v>
      </c>
      <c r="B134" s="37">
        <f>'[2]2026年度男装数据汇总分析--俄罗斯'!B134</f>
        <v>0</v>
      </c>
      <c r="C134" s="37">
        <f>'[2]2026年度男装数据汇总分析--俄罗斯'!C134</f>
        <v>0</v>
      </c>
      <c r="D134" s="37">
        <f>'[2]2026年度男装数据汇总分析--俄罗斯'!D134</f>
        <v>0</v>
      </c>
      <c r="E134" s="37">
        <f>'[2]2026年度男装数据汇总分析--俄罗斯'!E134</f>
        <v>0</v>
      </c>
      <c r="F134" s="37">
        <f>'[2]2026年度男装数据汇总分析--俄罗斯'!F134</f>
        <v>0</v>
      </c>
      <c r="G134" s="37">
        <f>'[2]2026年度男装数据汇总分析--俄罗斯'!G134</f>
        <v>0</v>
      </c>
      <c r="H134" s="37">
        <f>'[2]2026年度男装数据汇总分析--俄罗斯'!H134</f>
        <v>0</v>
      </c>
      <c r="I134" s="37">
        <f>'[2]2026年度男装数据汇总分析--俄罗斯'!I134</f>
        <v>0</v>
      </c>
      <c r="J134" s="37">
        <f>'[2]2026年度男装数据汇总分析--俄罗斯'!J134</f>
        <v>0</v>
      </c>
      <c r="K134" s="37">
        <f>'[2]2026年度男装数据汇总分析--俄罗斯'!K134</f>
        <v>0</v>
      </c>
      <c r="L134" s="37">
        <f>'[2]2026年度男装数据汇总分析--俄罗斯'!L134</f>
        <v>0</v>
      </c>
      <c r="M134" s="37">
        <f>'[2]2026年度男装数据汇总分析--俄罗斯'!M134</f>
        <v>0</v>
      </c>
      <c r="N134" s="37">
        <f>'[2]2026年度男装数据汇总分析--俄罗斯'!N134</f>
        <v>0</v>
      </c>
      <c r="O134" s="37">
        <f>'[2]2026年度男装数据汇总分析--俄罗斯'!O134</f>
        <v>0</v>
      </c>
    </row>
    <row r="135" spans="1:15">
      <c r="A135" s="37">
        <f>'[2]2026年度男装数据汇总分析--俄罗斯'!A135</f>
        <v>0</v>
      </c>
      <c r="B135" s="37">
        <f>'[2]2026年度男装数据汇总分析--俄罗斯'!B135</f>
        <v>0</v>
      </c>
      <c r="C135" s="37">
        <f>'[2]2026年度男装数据汇总分析--俄罗斯'!C135</f>
        <v>0</v>
      </c>
      <c r="D135" s="37">
        <f>'[2]2026年度男装数据汇总分析--俄罗斯'!D135</f>
        <v>0</v>
      </c>
      <c r="E135" s="37">
        <f>'[2]2026年度男装数据汇总分析--俄罗斯'!E135</f>
        <v>0</v>
      </c>
      <c r="F135" s="37">
        <f>'[2]2026年度男装数据汇总分析--俄罗斯'!F135</f>
        <v>0</v>
      </c>
      <c r="G135" s="37">
        <f>'[2]2026年度男装数据汇总分析--俄罗斯'!G135</f>
        <v>0</v>
      </c>
      <c r="H135" s="37">
        <f>'[2]2026年度男装数据汇总分析--俄罗斯'!H135</f>
        <v>0</v>
      </c>
      <c r="I135" s="37">
        <f>'[2]2026年度男装数据汇总分析--俄罗斯'!I135</f>
        <v>0</v>
      </c>
      <c r="J135" s="37">
        <f>'[2]2026年度男装数据汇总分析--俄罗斯'!J135</f>
        <v>0</v>
      </c>
      <c r="K135" s="37">
        <f>'[2]2026年度男装数据汇总分析--俄罗斯'!K135</f>
        <v>0</v>
      </c>
      <c r="L135" s="37">
        <f>'[2]2026年度男装数据汇总分析--俄罗斯'!L135</f>
        <v>0</v>
      </c>
      <c r="M135" s="37">
        <f>'[2]2026年度男装数据汇总分析--俄罗斯'!M135</f>
        <v>0</v>
      </c>
      <c r="N135" s="37">
        <f>'[2]2026年度男装数据汇总分析--俄罗斯'!N135</f>
        <v>0</v>
      </c>
      <c r="O135" s="37">
        <f>'[2]2026年度男装数据汇总分析--俄罗斯'!O135</f>
        <v>0</v>
      </c>
    </row>
    <row r="136" spans="1:15">
      <c r="A136" s="37">
        <f>'[2]2026年度男装数据汇总分析--俄罗斯'!A136</f>
        <v>0</v>
      </c>
      <c r="B136" s="37">
        <f>'[2]2026年度男装数据汇总分析--俄罗斯'!B136</f>
        <v>0</v>
      </c>
      <c r="C136" s="37">
        <f>'[2]2026年度男装数据汇总分析--俄罗斯'!C136</f>
        <v>0</v>
      </c>
      <c r="D136" s="37">
        <f>'[2]2026年度男装数据汇总分析--俄罗斯'!D136</f>
        <v>0</v>
      </c>
      <c r="E136" s="37">
        <f>'[2]2026年度男装数据汇总分析--俄罗斯'!E136</f>
        <v>0</v>
      </c>
      <c r="F136" s="37">
        <f>'[2]2026年度男装数据汇总分析--俄罗斯'!F136</f>
        <v>0</v>
      </c>
      <c r="G136" s="37">
        <f>'[2]2026年度男装数据汇总分析--俄罗斯'!G136</f>
        <v>0</v>
      </c>
      <c r="H136" s="37">
        <f>'[2]2026年度男装数据汇总分析--俄罗斯'!H136</f>
        <v>0</v>
      </c>
      <c r="I136" s="37">
        <f>'[2]2026年度男装数据汇总分析--俄罗斯'!I136</f>
        <v>0</v>
      </c>
      <c r="J136" s="37">
        <f>'[2]2026年度男装数据汇总分析--俄罗斯'!J136</f>
        <v>0</v>
      </c>
      <c r="K136" s="37">
        <f>'[2]2026年度男装数据汇总分析--俄罗斯'!K136</f>
        <v>0</v>
      </c>
      <c r="L136" s="37">
        <f>'[2]2026年度男装数据汇总分析--俄罗斯'!L136</f>
        <v>0</v>
      </c>
      <c r="M136" s="37">
        <f>'[2]2026年度男装数据汇总分析--俄罗斯'!M136</f>
        <v>0</v>
      </c>
      <c r="N136" s="37">
        <f>'[2]2026年度男装数据汇总分析--俄罗斯'!N136</f>
        <v>0</v>
      </c>
      <c r="O136" s="37">
        <f>'[2]2026年度男装数据汇总分析--俄罗斯'!O136</f>
        <v>0</v>
      </c>
    </row>
    <row r="137" spans="1:15">
      <c r="A137" s="37">
        <f>'[2]2026年度男装数据汇总分析--俄罗斯'!A137</f>
        <v>0</v>
      </c>
      <c r="B137" s="37">
        <f>'[2]2026年度男装数据汇总分析--俄罗斯'!B137</f>
        <v>0</v>
      </c>
      <c r="C137" s="37">
        <f>'[2]2026年度男装数据汇总分析--俄罗斯'!C137</f>
        <v>0</v>
      </c>
      <c r="D137" s="37">
        <f>'[2]2026年度男装数据汇总分析--俄罗斯'!D137</f>
        <v>0</v>
      </c>
      <c r="E137" s="37">
        <f>'[2]2026年度男装数据汇总分析--俄罗斯'!E137</f>
        <v>0</v>
      </c>
      <c r="F137" s="37">
        <f>'[2]2026年度男装数据汇总分析--俄罗斯'!F137</f>
        <v>0</v>
      </c>
      <c r="G137" s="37">
        <f>'[2]2026年度男装数据汇总分析--俄罗斯'!G137</f>
        <v>0</v>
      </c>
      <c r="H137" s="37">
        <f>'[2]2026年度男装数据汇总分析--俄罗斯'!H137</f>
        <v>0</v>
      </c>
      <c r="I137" s="37">
        <f>'[2]2026年度男装数据汇总分析--俄罗斯'!I137</f>
        <v>0</v>
      </c>
      <c r="J137" s="37">
        <f>'[2]2026年度男装数据汇总分析--俄罗斯'!J137</f>
        <v>0</v>
      </c>
      <c r="K137" s="37">
        <f>'[2]2026年度男装数据汇总分析--俄罗斯'!K137</f>
        <v>0</v>
      </c>
      <c r="L137" s="37">
        <f>'[2]2026年度男装数据汇总分析--俄罗斯'!L137</f>
        <v>0</v>
      </c>
      <c r="M137" s="37">
        <f>'[2]2026年度男装数据汇总分析--俄罗斯'!M137</f>
        <v>0</v>
      </c>
      <c r="N137" s="37">
        <f>'[2]2026年度男装数据汇总分析--俄罗斯'!N137</f>
        <v>0</v>
      </c>
      <c r="O137" s="37">
        <f>'[2]2026年度男装数据汇总分析--俄罗斯'!O137</f>
        <v>0</v>
      </c>
    </row>
    <row r="138" spans="1:15">
      <c r="A138" s="37">
        <f>'[2]2026年度男装数据汇总分析--俄罗斯'!A138</f>
        <v>0</v>
      </c>
      <c r="B138" s="37">
        <f>'[2]2026年度男装数据汇总分析--俄罗斯'!B138</f>
        <v>0</v>
      </c>
      <c r="C138" s="37">
        <f>'[2]2026年度男装数据汇总分析--俄罗斯'!C138</f>
        <v>0</v>
      </c>
      <c r="D138" s="37">
        <f>'[2]2026年度男装数据汇总分析--俄罗斯'!D138</f>
        <v>0</v>
      </c>
      <c r="E138" s="37">
        <f>'[2]2026年度男装数据汇总分析--俄罗斯'!E138</f>
        <v>0</v>
      </c>
      <c r="F138" s="37">
        <f>'[2]2026年度男装数据汇总分析--俄罗斯'!F138</f>
        <v>0</v>
      </c>
      <c r="G138" s="37">
        <f>'[2]2026年度男装数据汇总分析--俄罗斯'!G138</f>
        <v>0</v>
      </c>
      <c r="H138" s="37">
        <f>'[2]2026年度男装数据汇总分析--俄罗斯'!H138</f>
        <v>0</v>
      </c>
      <c r="I138" s="37">
        <f>'[2]2026年度男装数据汇总分析--俄罗斯'!I138</f>
        <v>0</v>
      </c>
      <c r="J138" s="37">
        <f>'[2]2026年度男装数据汇总分析--俄罗斯'!J138</f>
        <v>0</v>
      </c>
      <c r="K138" s="37">
        <f>'[2]2026年度男装数据汇总分析--俄罗斯'!K138</f>
        <v>0</v>
      </c>
      <c r="L138" s="37">
        <f>'[2]2026年度男装数据汇总分析--俄罗斯'!L138</f>
        <v>0</v>
      </c>
      <c r="M138" s="37">
        <f>'[2]2026年度男装数据汇总分析--俄罗斯'!M138</f>
        <v>0</v>
      </c>
      <c r="N138" s="37">
        <f>'[2]2026年度男装数据汇总分析--俄罗斯'!N138</f>
        <v>0</v>
      </c>
      <c r="O138" s="37">
        <f>'[2]2026年度男装数据汇总分析--俄罗斯'!O138</f>
        <v>0</v>
      </c>
    </row>
    <row r="139" spans="1:15">
      <c r="A139" s="37">
        <f>'[2]2026年度男装数据汇总分析--俄罗斯'!A139</f>
        <v>0</v>
      </c>
      <c r="B139" s="37">
        <f>'[2]2026年度男装数据汇总分析--俄罗斯'!B139</f>
        <v>0</v>
      </c>
      <c r="C139" s="37">
        <f>'[2]2026年度男装数据汇总分析--俄罗斯'!C139</f>
        <v>0</v>
      </c>
      <c r="D139" s="37">
        <f>'[2]2026年度男装数据汇总分析--俄罗斯'!D139</f>
        <v>0</v>
      </c>
      <c r="E139" s="37">
        <f>'[2]2026年度男装数据汇总分析--俄罗斯'!E139</f>
        <v>0</v>
      </c>
      <c r="F139" s="37">
        <f>'[2]2026年度男装数据汇总分析--俄罗斯'!F139</f>
        <v>0</v>
      </c>
      <c r="G139" s="37">
        <f>'[2]2026年度男装数据汇总分析--俄罗斯'!G139</f>
        <v>0</v>
      </c>
      <c r="H139" s="37">
        <f>'[2]2026年度男装数据汇总分析--俄罗斯'!H139</f>
        <v>0</v>
      </c>
      <c r="I139" s="37">
        <f>'[2]2026年度男装数据汇总分析--俄罗斯'!I139</f>
        <v>0</v>
      </c>
      <c r="J139" s="37">
        <f>'[2]2026年度男装数据汇总分析--俄罗斯'!J139</f>
        <v>0</v>
      </c>
      <c r="K139" s="37">
        <f>'[2]2026年度男装数据汇总分析--俄罗斯'!K139</f>
        <v>0</v>
      </c>
      <c r="L139" s="37">
        <f>'[2]2026年度男装数据汇总分析--俄罗斯'!L139</f>
        <v>0</v>
      </c>
      <c r="M139" s="37">
        <f>'[2]2026年度男装数据汇总分析--俄罗斯'!M139</f>
        <v>0</v>
      </c>
      <c r="N139" s="37">
        <f>'[2]2026年度男装数据汇总分析--俄罗斯'!N139</f>
        <v>0</v>
      </c>
      <c r="O139" s="37">
        <f>'[2]2026年度男装数据汇总分析--俄罗斯'!O139</f>
        <v>0</v>
      </c>
    </row>
    <row r="140" spans="1:15">
      <c r="A140" s="37">
        <f>'[2]2026年度男装数据汇总分析--俄罗斯'!A140</f>
        <v>0</v>
      </c>
      <c r="B140" s="37">
        <f>'[2]2026年度男装数据汇总分析--俄罗斯'!B140</f>
        <v>0</v>
      </c>
      <c r="C140" s="37">
        <f>'[2]2026年度男装数据汇总分析--俄罗斯'!C140</f>
        <v>0</v>
      </c>
      <c r="D140" s="37">
        <f>'[2]2026年度男装数据汇总分析--俄罗斯'!D140</f>
        <v>0</v>
      </c>
      <c r="E140" s="37">
        <f>'[2]2026年度男装数据汇总分析--俄罗斯'!E140</f>
        <v>0</v>
      </c>
      <c r="F140" s="37">
        <f>'[2]2026年度男装数据汇总分析--俄罗斯'!F140</f>
        <v>0</v>
      </c>
      <c r="G140" s="37">
        <f>'[2]2026年度男装数据汇总分析--俄罗斯'!G140</f>
        <v>0</v>
      </c>
      <c r="H140" s="37">
        <f>'[2]2026年度男装数据汇总分析--俄罗斯'!H140</f>
        <v>0</v>
      </c>
      <c r="I140" s="37">
        <f>'[2]2026年度男装数据汇总分析--俄罗斯'!I140</f>
        <v>0</v>
      </c>
      <c r="J140" s="37">
        <f>'[2]2026年度男装数据汇总分析--俄罗斯'!J140</f>
        <v>0</v>
      </c>
      <c r="K140" s="37">
        <f>'[2]2026年度男装数据汇总分析--俄罗斯'!K140</f>
        <v>0</v>
      </c>
      <c r="L140" s="37">
        <f>'[2]2026年度男装数据汇总分析--俄罗斯'!L140</f>
        <v>0</v>
      </c>
      <c r="M140" s="37">
        <f>'[2]2026年度男装数据汇总分析--俄罗斯'!M140</f>
        <v>0</v>
      </c>
      <c r="N140" s="37">
        <f>'[2]2026年度男装数据汇总分析--俄罗斯'!N140</f>
        <v>0</v>
      </c>
      <c r="O140" s="37">
        <f>'[2]2026年度男装数据汇总分析--俄罗斯'!O140</f>
        <v>0</v>
      </c>
    </row>
    <row r="141" spans="1:15">
      <c r="A141" s="37">
        <f>'[2]2026年度男装数据汇总分析--俄罗斯'!A141</f>
        <v>0</v>
      </c>
      <c r="B141" s="37">
        <f>'[2]2026年度男装数据汇总分析--俄罗斯'!B141</f>
        <v>0</v>
      </c>
      <c r="C141" s="37">
        <f>'[2]2026年度男装数据汇总分析--俄罗斯'!C141</f>
        <v>0</v>
      </c>
      <c r="D141" s="37">
        <f>'[2]2026年度男装数据汇总分析--俄罗斯'!D141</f>
        <v>0</v>
      </c>
      <c r="E141" s="37">
        <f>'[2]2026年度男装数据汇总分析--俄罗斯'!E141</f>
        <v>0</v>
      </c>
      <c r="F141" s="37">
        <f>'[2]2026年度男装数据汇总分析--俄罗斯'!F141</f>
        <v>0</v>
      </c>
      <c r="G141" s="37">
        <f>'[2]2026年度男装数据汇总分析--俄罗斯'!G141</f>
        <v>0</v>
      </c>
      <c r="H141" s="37">
        <f>'[2]2026年度男装数据汇总分析--俄罗斯'!H141</f>
        <v>0</v>
      </c>
      <c r="I141" s="37">
        <f>'[2]2026年度男装数据汇总分析--俄罗斯'!I141</f>
        <v>0</v>
      </c>
      <c r="J141" s="37">
        <f>'[2]2026年度男装数据汇总分析--俄罗斯'!J141</f>
        <v>0</v>
      </c>
      <c r="K141" s="37">
        <f>'[2]2026年度男装数据汇总分析--俄罗斯'!K141</f>
        <v>0</v>
      </c>
      <c r="L141" s="37">
        <f>'[2]2026年度男装数据汇总分析--俄罗斯'!L141</f>
        <v>0</v>
      </c>
      <c r="M141" s="37">
        <f>'[2]2026年度男装数据汇总分析--俄罗斯'!M141</f>
        <v>0</v>
      </c>
      <c r="N141" s="37">
        <f>'[2]2026年度男装数据汇总分析--俄罗斯'!N141</f>
        <v>0</v>
      </c>
      <c r="O141" s="37">
        <f>'[2]2026年度男装数据汇总分析--俄罗斯'!O141</f>
        <v>0</v>
      </c>
    </row>
    <row r="142" spans="1:15">
      <c r="A142" s="37">
        <f>'[2]2026年度男装数据汇总分析--俄罗斯'!A142</f>
        <v>0</v>
      </c>
      <c r="B142" s="37">
        <f>'[2]2026年度男装数据汇总分析--俄罗斯'!B142</f>
        <v>0</v>
      </c>
      <c r="C142" s="37">
        <f>'[2]2026年度男装数据汇总分析--俄罗斯'!C142</f>
        <v>0</v>
      </c>
      <c r="D142" s="37">
        <f>'[2]2026年度男装数据汇总分析--俄罗斯'!D142</f>
        <v>0</v>
      </c>
      <c r="E142" s="37">
        <f>'[2]2026年度男装数据汇总分析--俄罗斯'!E142</f>
        <v>0</v>
      </c>
      <c r="F142" s="37">
        <f>'[2]2026年度男装数据汇总分析--俄罗斯'!F142</f>
        <v>0</v>
      </c>
      <c r="G142" s="37">
        <f>'[2]2026年度男装数据汇总分析--俄罗斯'!G142</f>
        <v>0</v>
      </c>
      <c r="H142" s="37">
        <f>'[2]2026年度男装数据汇总分析--俄罗斯'!H142</f>
        <v>0</v>
      </c>
      <c r="I142" s="37">
        <f>'[2]2026年度男装数据汇总分析--俄罗斯'!I142</f>
        <v>0</v>
      </c>
      <c r="J142" s="37">
        <f>'[2]2026年度男装数据汇总分析--俄罗斯'!J142</f>
        <v>0</v>
      </c>
      <c r="K142" s="37">
        <f>'[2]2026年度男装数据汇总分析--俄罗斯'!K142</f>
        <v>0</v>
      </c>
      <c r="L142" s="37">
        <f>'[2]2026年度男装数据汇总分析--俄罗斯'!L142</f>
        <v>0</v>
      </c>
      <c r="M142" s="37">
        <f>'[2]2026年度男装数据汇总分析--俄罗斯'!M142</f>
        <v>0</v>
      </c>
      <c r="N142" s="37">
        <f>'[2]2026年度男装数据汇总分析--俄罗斯'!N142</f>
        <v>0</v>
      </c>
      <c r="O142" s="37">
        <f>'[2]2026年度男装数据汇总分析--俄罗斯'!O142</f>
        <v>0</v>
      </c>
    </row>
    <row r="143" spans="1:15">
      <c r="A143" s="37">
        <f>'[2]2026年度男装数据汇总分析--俄罗斯'!A143</f>
        <v>0</v>
      </c>
      <c r="B143" s="37">
        <f>'[2]2026年度男装数据汇总分析--俄罗斯'!B143</f>
        <v>0</v>
      </c>
      <c r="C143" s="37">
        <f>'[2]2026年度男装数据汇总分析--俄罗斯'!C143</f>
        <v>0</v>
      </c>
      <c r="D143" s="37">
        <f>'[2]2026年度男装数据汇总分析--俄罗斯'!D143</f>
        <v>0</v>
      </c>
      <c r="E143" s="37">
        <f>'[2]2026年度男装数据汇总分析--俄罗斯'!E143</f>
        <v>0</v>
      </c>
      <c r="F143" s="37">
        <f>'[2]2026年度男装数据汇总分析--俄罗斯'!F143</f>
        <v>0</v>
      </c>
      <c r="G143" s="37">
        <f>'[2]2026年度男装数据汇总分析--俄罗斯'!G143</f>
        <v>0</v>
      </c>
      <c r="H143" s="37">
        <f>'[2]2026年度男装数据汇总分析--俄罗斯'!H143</f>
        <v>0</v>
      </c>
      <c r="I143" s="37">
        <f>'[2]2026年度男装数据汇总分析--俄罗斯'!I143</f>
        <v>0</v>
      </c>
      <c r="J143" s="37">
        <f>'[2]2026年度男装数据汇总分析--俄罗斯'!J143</f>
        <v>0</v>
      </c>
      <c r="K143" s="37">
        <f>'[2]2026年度男装数据汇总分析--俄罗斯'!K143</f>
        <v>0</v>
      </c>
      <c r="L143" s="37">
        <f>'[2]2026年度男装数据汇总分析--俄罗斯'!L143</f>
        <v>0</v>
      </c>
      <c r="M143" s="37">
        <f>'[2]2026年度男装数据汇总分析--俄罗斯'!M143</f>
        <v>0</v>
      </c>
      <c r="N143" s="37">
        <f>'[2]2026年度男装数据汇总分析--俄罗斯'!N143</f>
        <v>0</v>
      </c>
      <c r="O143" s="37">
        <f>'[2]2026年度男装数据汇总分析--俄罗斯'!O143</f>
        <v>0</v>
      </c>
    </row>
    <row r="144" spans="1:15">
      <c r="A144" s="37">
        <f>'[2]2026年度男装数据汇总分析--俄罗斯'!A144</f>
        <v>0</v>
      </c>
      <c r="B144" s="37">
        <f>'[2]2026年度男装数据汇总分析--俄罗斯'!B144</f>
        <v>0</v>
      </c>
      <c r="C144" s="37">
        <f>'[2]2026年度男装数据汇总分析--俄罗斯'!C144</f>
        <v>0</v>
      </c>
      <c r="D144" s="37">
        <f>'[2]2026年度男装数据汇总分析--俄罗斯'!D144</f>
        <v>0</v>
      </c>
      <c r="E144" s="37">
        <f>'[2]2026年度男装数据汇总分析--俄罗斯'!E144</f>
        <v>0</v>
      </c>
      <c r="F144" s="37">
        <f>'[2]2026年度男装数据汇总分析--俄罗斯'!F144</f>
        <v>0</v>
      </c>
      <c r="G144" s="37">
        <f>'[2]2026年度男装数据汇总分析--俄罗斯'!G144</f>
        <v>0</v>
      </c>
      <c r="H144" s="37">
        <f>'[2]2026年度男装数据汇总分析--俄罗斯'!H144</f>
        <v>0</v>
      </c>
      <c r="I144" s="37">
        <f>'[2]2026年度男装数据汇总分析--俄罗斯'!I144</f>
        <v>0</v>
      </c>
      <c r="J144" s="37">
        <f>'[2]2026年度男装数据汇总分析--俄罗斯'!J144</f>
        <v>0</v>
      </c>
      <c r="K144" s="37">
        <f>'[2]2026年度男装数据汇总分析--俄罗斯'!K144</f>
        <v>0</v>
      </c>
      <c r="L144" s="37">
        <f>'[2]2026年度男装数据汇总分析--俄罗斯'!L144</f>
        <v>0</v>
      </c>
      <c r="M144" s="37">
        <f>'[2]2026年度男装数据汇总分析--俄罗斯'!M144</f>
        <v>0</v>
      </c>
      <c r="N144" s="37">
        <f>'[2]2026年度男装数据汇总分析--俄罗斯'!N144</f>
        <v>0</v>
      </c>
      <c r="O144" s="37">
        <f>'[2]2026年度男装数据汇总分析--俄罗斯'!O144</f>
        <v>0</v>
      </c>
    </row>
    <row r="145" spans="1:15">
      <c r="A145" s="37">
        <f>'[2]2026年度男装数据汇总分析--俄罗斯'!A145</f>
        <v>0</v>
      </c>
      <c r="B145" s="37">
        <f>'[2]2026年度男装数据汇总分析--俄罗斯'!B145</f>
        <v>0</v>
      </c>
      <c r="C145" s="37">
        <f>'[2]2026年度男装数据汇总分析--俄罗斯'!C145</f>
        <v>0</v>
      </c>
      <c r="D145" s="37">
        <f>'[2]2026年度男装数据汇总分析--俄罗斯'!D145</f>
        <v>0</v>
      </c>
      <c r="E145" s="37">
        <f>'[2]2026年度男装数据汇总分析--俄罗斯'!E145</f>
        <v>0</v>
      </c>
      <c r="F145" s="37">
        <f>'[2]2026年度男装数据汇总分析--俄罗斯'!F145</f>
        <v>0</v>
      </c>
      <c r="G145" s="37">
        <f>'[2]2026年度男装数据汇总分析--俄罗斯'!G145</f>
        <v>0</v>
      </c>
      <c r="H145" s="37">
        <f>'[2]2026年度男装数据汇总分析--俄罗斯'!H145</f>
        <v>0</v>
      </c>
      <c r="I145" s="37">
        <f>'[2]2026年度男装数据汇总分析--俄罗斯'!I145</f>
        <v>0</v>
      </c>
      <c r="J145" s="37">
        <f>'[2]2026年度男装数据汇总分析--俄罗斯'!J145</f>
        <v>0</v>
      </c>
      <c r="K145" s="37">
        <f>'[2]2026年度男装数据汇总分析--俄罗斯'!K145</f>
        <v>0</v>
      </c>
      <c r="L145" s="37">
        <f>'[2]2026年度男装数据汇总分析--俄罗斯'!L145</f>
        <v>0</v>
      </c>
      <c r="M145" s="37">
        <f>'[2]2026年度男装数据汇总分析--俄罗斯'!M145</f>
        <v>0</v>
      </c>
      <c r="N145" s="37">
        <f>'[2]2026年度男装数据汇总分析--俄罗斯'!N145</f>
        <v>0</v>
      </c>
      <c r="O145" s="37">
        <f>'[2]2026年度男装数据汇总分析--俄罗斯'!O145</f>
        <v>0</v>
      </c>
    </row>
    <row r="146" spans="1:15">
      <c r="A146" s="37">
        <f>'[2]2026年度男装数据汇总分析--俄罗斯'!A146</f>
        <v>0</v>
      </c>
      <c r="B146" s="37">
        <f>'[2]2026年度男装数据汇总分析--俄罗斯'!B146</f>
        <v>0</v>
      </c>
      <c r="C146" s="37">
        <f>'[2]2026年度男装数据汇总分析--俄罗斯'!C146</f>
        <v>0</v>
      </c>
      <c r="D146" s="37">
        <f>'[2]2026年度男装数据汇总分析--俄罗斯'!D146</f>
        <v>0</v>
      </c>
      <c r="E146" s="37">
        <f>'[2]2026年度男装数据汇总分析--俄罗斯'!E146</f>
        <v>0</v>
      </c>
      <c r="F146" s="37">
        <f>'[2]2026年度男装数据汇总分析--俄罗斯'!F146</f>
        <v>0</v>
      </c>
      <c r="G146" s="37">
        <f>'[2]2026年度男装数据汇总分析--俄罗斯'!G146</f>
        <v>0</v>
      </c>
      <c r="H146" s="37">
        <f>'[2]2026年度男装数据汇总分析--俄罗斯'!H146</f>
        <v>0</v>
      </c>
      <c r="I146" s="37">
        <f>'[2]2026年度男装数据汇总分析--俄罗斯'!I146</f>
        <v>0</v>
      </c>
      <c r="J146" s="37">
        <f>'[2]2026年度男装数据汇总分析--俄罗斯'!J146</f>
        <v>0</v>
      </c>
      <c r="K146" s="37">
        <f>'[2]2026年度男装数据汇总分析--俄罗斯'!K146</f>
        <v>0</v>
      </c>
      <c r="L146" s="37">
        <f>'[2]2026年度男装数据汇总分析--俄罗斯'!L146</f>
        <v>0</v>
      </c>
      <c r="M146" s="37">
        <f>'[2]2026年度男装数据汇总分析--俄罗斯'!M146</f>
        <v>0</v>
      </c>
      <c r="N146" s="37">
        <f>'[2]2026年度男装数据汇总分析--俄罗斯'!N146</f>
        <v>0</v>
      </c>
      <c r="O146" s="37">
        <f>'[2]2026年度男装数据汇总分析--俄罗斯'!O146</f>
        <v>0</v>
      </c>
    </row>
    <row r="147" spans="1:15">
      <c r="A147" s="37">
        <f>'[2]2026年度男装数据汇总分析--俄罗斯'!A147</f>
        <v>0</v>
      </c>
      <c r="B147" s="37">
        <f>'[2]2026年度男装数据汇总分析--俄罗斯'!B147</f>
        <v>0</v>
      </c>
      <c r="C147" s="37">
        <f>'[2]2026年度男装数据汇总分析--俄罗斯'!C147</f>
        <v>0</v>
      </c>
      <c r="D147" s="37">
        <f>'[2]2026年度男装数据汇总分析--俄罗斯'!D147</f>
        <v>0</v>
      </c>
      <c r="E147" s="37">
        <f>'[2]2026年度男装数据汇总分析--俄罗斯'!E147</f>
        <v>0</v>
      </c>
      <c r="F147" s="37">
        <f>'[2]2026年度男装数据汇总分析--俄罗斯'!F147</f>
        <v>0</v>
      </c>
      <c r="G147" s="37">
        <f>'[2]2026年度男装数据汇总分析--俄罗斯'!G147</f>
        <v>0</v>
      </c>
      <c r="H147" s="37">
        <f>'[2]2026年度男装数据汇总分析--俄罗斯'!H147</f>
        <v>0</v>
      </c>
      <c r="I147" s="37">
        <f>'[2]2026年度男装数据汇总分析--俄罗斯'!I147</f>
        <v>0</v>
      </c>
      <c r="J147" s="37">
        <f>'[2]2026年度男装数据汇总分析--俄罗斯'!J147</f>
        <v>0</v>
      </c>
      <c r="K147" s="37">
        <f>'[2]2026年度男装数据汇总分析--俄罗斯'!K147</f>
        <v>0</v>
      </c>
      <c r="L147" s="37">
        <f>'[2]2026年度男装数据汇总分析--俄罗斯'!L147</f>
        <v>0</v>
      </c>
      <c r="M147" s="37">
        <f>'[2]2026年度男装数据汇总分析--俄罗斯'!M147</f>
        <v>0</v>
      </c>
      <c r="N147" s="37">
        <f>'[2]2026年度男装数据汇总分析--俄罗斯'!N147</f>
        <v>0</v>
      </c>
      <c r="O147" s="37">
        <f>'[2]2026年度男装数据汇总分析--俄罗斯'!O147</f>
        <v>0</v>
      </c>
    </row>
    <row r="148" spans="1:15">
      <c r="A148" s="37">
        <f>'[2]2026年度男装数据汇总分析--俄罗斯'!A148</f>
        <v>0</v>
      </c>
      <c r="B148" s="37">
        <f>'[2]2026年度男装数据汇总分析--俄罗斯'!B148</f>
        <v>0</v>
      </c>
      <c r="C148" s="37">
        <f>'[2]2026年度男装数据汇总分析--俄罗斯'!C148</f>
        <v>0</v>
      </c>
      <c r="D148" s="37">
        <f>'[2]2026年度男装数据汇总分析--俄罗斯'!D148</f>
        <v>0</v>
      </c>
      <c r="E148" s="37">
        <f>'[2]2026年度男装数据汇总分析--俄罗斯'!E148</f>
        <v>0</v>
      </c>
      <c r="F148" s="37">
        <f>'[2]2026年度男装数据汇总分析--俄罗斯'!F148</f>
        <v>0</v>
      </c>
      <c r="G148" s="37">
        <f>'[2]2026年度男装数据汇总分析--俄罗斯'!G148</f>
        <v>0</v>
      </c>
      <c r="H148" s="37">
        <f>'[2]2026年度男装数据汇总分析--俄罗斯'!H148</f>
        <v>0</v>
      </c>
      <c r="I148" s="37">
        <f>'[2]2026年度男装数据汇总分析--俄罗斯'!I148</f>
        <v>0</v>
      </c>
      <c r="J148" s="37">
        <f>'[2]2026年度男装数据汇总分析--俄罗斯'!J148</f>
        <v>0</v>
      </c>
      <c r="K148" s="37">
        <f>'[2]2026年度男装数据汇总分析--俄罗斯'!K148</f>
        <v>0</v>
      </c>
      <c r="L148" s="37">
        <f>'[2]2026年度男装数据汇总分析--俄罗斯'!L148</f>
        <v>0</v>
      </c>
      <c r="M148" s="37">
        <f>'[2]2026年度男装数据汇总分析--俄罗斯'!M148</f>
        <v>0</v>
      </c>
      <c r="N148" s="37">
        <f>'[2]2026年度男装数据汇总分析--俄罗斯'!N148</f>
        <v>0</v>
      </c>
      <c r="O148" s="37">
        <f>'[2]2026年度男装数据汇总分析--俄罗斯'!O148</f>
        <v>0</v>
      </c>
    </row>
    <row r="149" spans="1:15">
      <c r="A149" s="37">
        <f>'[2]2026年度男装数据汇总分析--俄罗斯'!A149</f>
        <v>0</v>
      </c>
      <c r="B149" s="37">
        <f>'[2]2026年度男装数据汇总分析--俄罗斯'!B149</f>
        <v>0</v>
      </c>
      <c r="C149" s="37">
        <f>'[2]2026年度男装数据汇总分析--俄罗斯'!C149</f>
        <v>0</v>
      </c>
      <c r="D149" s="37">
        <f>'[2]2026年度男装数据汇总分析--俄罗斯'!D149</f>
        <v>0</v>
      </c>
      <c r="E149" s="37">
        <f>'[2]2026年度男装数据汇总分析--俄罗斯'!E149</f>
        <v>0</v>
      </c>
      <c r="F149" s="37">
        <f>'[2]2026年度男装数据汇总分析--俄罗斯'!F149</f>
        <v>0</v>
      </c>
      <c r="G149" s="37">
        <f>'[2]2026年度男装数据汇总分析--俄罗斯'!G149</f>
        <v>0</v>
      </c>
      <c r="H149" s="37">
        <f>'[2]2026年度男装数据汇总分析--俄罗斯'!H149</f>
        <v>0</v>
      </c>
      <c r="I149" s="37">
        <f>'[2]2026年度男装数据汇总分析--俄罗斯'!I149</f>
        <v>0</v>
      </c>
      <c r="J149" s="37">
        <f>'[2]2026年度男装数据汇总分析--俄罗斯'!J149</f>
        <v>0</v>
      </c>
      <c r="K149" s="37">
        <f>'[2]2026年度男装数据汇总分析--俄罗斯'!K149</f>
        <v>0</v>
      </c>
      <c r="L149" s="37">
        <f>'[2]2026年度男装数据汇总分析--俄罗斯'!L149</f>
        <v>0</v>
      </c>
      <c r="M149" s="37">
        <f>'[2]2026年度男装数据汇总分析--俄罗斯'!M149</f>
        <v>0</v>
      </c>
      <c r="N149" s="37">
        <f>'[2]2026年度男装数据汇总分析--俄罗斯'!N149</f>
        <v>0</v>
      </c>
      <c r="O149" s="37">
        <f>'[2]2026年度男装数据汇总分析--俄罗斯'!O149</f>
        <v>0</v>
      </c>
    </row>
    <row r="150" spans="1:15">
      <c r="A150" s="37">
        <f>'[2]2026年度男装数据汇总分析--俄罗斯'!A150</f>
        <v>0</v>
      </c>
      <c r="B150" s="37">
        <f>'[2]2026年度男装数据汇总分析--俄罗斯'!B150</f>
        <v>0</v>
      </c>
      <c r="C150" s="37">
        <f>'[2]2026年度男装数据汇总分析--俄罗斯'!C150</f>
        <v>0</v>
      </c>
      <c r="D150" s="37">
        <f>'[2]2026年度男装数据汇总分析--俄罗斯'!D150</f>
        <v>0</v>
      </c>
      <c r="E150" s="37">
        <f>'[2]2026年度男装数据汇总分析--俄罗斯'!E150</f>
        <v>0</v>
      </c>
      <c r="F150" s="37">
        <f>'[2]2026年度男装数据汇总分析--俄罗斯'!F150</f>
        <v>0</v>
      </c>
      <c r="G150" s="37">
        <f>'[2]2026年度男装数据汇总分析--俄罗斯'!G150</f>
        <v>0</v>
      </c>
      <c r="H150" s="37">
        <f>'[2]2026年度男装数据汇总分析--俄罗斯'!H150</f>
        <v>0</v>
      </c>
      <c r="I150" s="37">
        <f>'[2]2026年度男装数据汇总分析--俄罗斯'!I150</f>
        <v>0</v>
      </c>
      <c r="J150" s="37">
        <f>'[2]2026年度男装数据汇总分析--俄罗斯'!J150</f>
        <v>0</v>
      </c>
      <c r="K150" s="37">
        <f>'[2]2026年度男装数据汇总分析--俄罗斯'!K150</f>
        <v>0</v>
      </c>
      <c r="L150" s="37">
        <f>'[2]2026年度男装数据汇总分析--俄罗斯'!L150</f>
        <v>0</v>
      </c>
      <c r="M150" s="37">
        <f>'[2]2026年度男装数据汇总分析--俄罗斯'!M150</f>
        <v>0</v>
      </c>
      <c r="N150" s="37">
        <f>'[2]2026年度男装数据汇总分析--俄罗斯'!N150</f>
        <v>0</v>
      </c>
      <c r="O150" s="37">
        <f>'[2]2026年度男装数据汇总分析--俄罗斯'!O150</f>
        <v>0</v>
      </c>
    </row>
    <row r="151" spans="1:15">
      <c r="A151" s="37">
        <f>'[2]2026年度男装数据汇总分析--俄罗斯'!A151</f>
        <v>0</v>
      </c>
      <c r="B151" s="37">
        <f>'[2]2026年度男装数据汇总分析--俄罗斯'!B151</f>
        <v>0</v>
      </c>
      <c r="C151" s="37">
        <f>'[2]2026年度男装数据汇总分析--俄罗斯'!C151</f>
        <v>0</v>
      </c>
      <c r="D151" s="37">
        <f>'[2]2026年度男装数据汇总分析--俄罗斯'!D151</f>
        <v>0</v>
      </c>
      <c r="E151" s="37">
        <f>'[2]2026年度男装数据汇总分析--俄罗斯'!E151</f>
        <v>0</v>
      </c>
      <c r="F151" s="37">
        <f>'[2]2026年度男装数据汇总分析--俄罗斯'!F151</f>
        <v>0</v>
      </c>
      <c r="G151" s="37">
        <f>'[2]2026年度男装数据汇总分析--俄罗斯'!G151</f>
        <v>0</v>
      </c>
      <c r="H151" s="37">
        <f>'[2]2026年度男装数据汇总分析--俄罗斯'!H151</f>
        <v>0</v>
      </c>
      <c r="I151" s="37">
        <f>'[2]2026年度男装数据汇总分析--俄罗斯'!I151</f>
        <v>0</v>
      </c>
      <c r="J151" s="37">
        <f>'[2]2026年度男装数据汇总分析--俄罗斯'!J151</f>
        <v>0</v>
      </c>
      <c r="K151" s="37">
        <f>'[2]2026年度男装数据汇总分析--俄罗斯'!K151</f>
        <v>0</v>
      </c>
      <c r="L151" s="37">
        <f>'[2]2026年度男装数据汇总分析--俄罗斯'!L151</f>
        <v>0</v>
      </c>
      <c r="M151" s="37">
        <f>'[2]2026年度男装数据汇总分析--俄罗斯'!M151</f>
        <v>0</v>
      </c>
      <c r="N151" s="37">
        <f>'[2]2026年度男装数据汇总分析--俄罗斯'!N151</f>
        <v>0</v>
      </c>
      <c r="O151" s="37">
        <f>'[2]2026年度男装数据汇总分析--俄罗斯'!O151</f>
        <v>0</v>
      </c>
    </row>
    <row r="152" spans="1:15">
      <c r="A152" s="37">
        <f>'[2]2026年度男装数据汇总分析--俄罗斯'!A152</f>
        <v>0</v>
      </c>
      <c r="B152" s="37">
        <f>'[2]2026年度男装数据汇总分析--俄罗斯'!B152</f>
        <v>0</v>
      </c>
      <c r="C152" s="37">
        <f>'[2]2026年度男装数据汇总分析--俄罗斯'!C152</f>
        <v>0</v>
      </c>
      <c r="D152" s="37">
        <f>'[2]2026年度男装数据汇总分析--俄罗斯'!D152</f>
        <v>0</v>
      </c>
      <c r="E152" s="37">
        <f>'[2]2026年度男装数据汇总分析--俄罗斯'!E152</f>
        <v>0</v>
      </c>
      <c r="F152" s="37">
        <f>'[2]2026年度男装数据汇总分析--俄罗斯'!F152</f>
        <v>0</v>
      </c>
      <c r="G152" s="37">
        <f>'[2]2026年度男装数据汇总分析--俄罗斯'!G152</f>
        <v>0</v>
      </c>
      <c r="H152" s="37">
        <f>'[2]2026年度男装数据汇总分析--俄罗斯'!H152</f>
        <v>0</v>
      </c>
      <c r="I152" s="37">
        <f>'[2]2026年度男装数据汇总分析--俄罗斯'!I152</f>
        <v>0</v>
      </c>
      <c r="J152" s="37">
        <f>'[2]2026年度男装数据汇总分析--俄罗斯'!J152</f>
        <v>0</v>
      </c>
      <c r="K152" s="37">
        <f>'[2]2026年度男装数据汇总分析--俄罗斯'!K152</f>
        <v>0</v>
      </c>
      <c r="L152" s="37">
        <f>'[2]2026年度男装数据汇总分析--俄罗斯'!L152</f>
        <v>0</v>
      </c>
      <c r="M152" s="37">
        <f>'[2]2026年度男装数据汇总分析--俄罗斯'!M152</f>
        <v>0</v>
      </c>
      <c r="N152" s="37">
        <f>'[2]2026年度男装数据汇总分析--俄罗斯'!N152</f>
        <v>0</v>
      </c>
      <c r="O152" s="37">
        <f>'[2]2026年度男装数据汇总分析--俄罗斯'!O152</f>
        <v>0</v>
      </c>
    </row>
    <row r="153" spans="1:15">
      <c r="A153" s="37">
        <f>'[2]2026年度男装数据汇总分析--俄罗斯'!A153</f>
        <v>0</v>
      </c>
      <c r="B153" s="37">
        <f>'[2]2026年度男装数据汇总分析--俄罗斯'!B153</f>
        <v>0</v>
      </c>
      <c r="C153" s="37">
        <f>'[2]2026年度男装数据汇总分析--俄罗斯'!C153</f>
        <v>0</v>
      </c>
      <c r="D153" s="37">
        <f>'[2]2026年度男装数据汇总分析--俄罗斯'!D153</f>
        <v>0</v>
      </c>
      <c r="E153" s="37">
        <f>'[2]2026年度男装数据汇总分析--俄罗斯'!E153</f>
        <v>0</v>
      </c>
      <c r="F153" s="37">
        <f>'[2]2026年度男装数据汇总分析--俄罗斯'!F153</f>
        <v>0</v>
      </c>
      <c r="G153" s="37">
        <f>'[2]2026年度男装数据汇总分析--俄罗斯'!G153</f>
        <v>0</v>
      </c>
      <c r="H153" s="37">
        <f>'[2]2026年度男装数据汇总分析--俄罗斯'!H153</f>
        <v>0</v>
      </c>
      <c r="I153" s="37">
        <f>'[2]2026年度男装数据汇总分析--俄罗斯'!I153</f>
        <v>0</v>
      </c>
      <c r="J153" s="37">
        <f>'[2]2026年度男装数据汇总分析--俄罗斯'!J153</f>
        <v>0</v>
      </c>
      <c r="K153" s="37">
        <f>'[2]2026年度男装数据汇总分析--俄罗斯'!K153</f>
        <v>0</v>
      </c>
      <c r="L153" s="37">
        <f>'[2]2026年度男装数据汇总分析--俄罗斯'!L153</f>
        <v>0</v>
      </c>
      <c r="M153" s="37">
        <f>'[2]2026年度男装数据汇总分析--俄罗斯'!M153</f>
        <v>0</v>
      </c>
      <c r="N153" s="37">
        <f>'[2]2026年度男装数据汇总分析--俄罗斯'!N153</f>
        <v>0</v>
      </c>
      <c r="O153" s="37">
        <f>'[2]2026年度男装数据汇总分析--俄罗斯'!O153</f>
        <v>0</v>
      </c>
    </row>
    <row r="154" spans="1:15">
      <c r="A154" s="37">
        <f>'[2]2026年度男装数据汇总分析--俄罗斯'!A154</f>
        <v>0</v>
      </c>
      <c r="B154" s="37">
        <f>'[2]2026年度男装数据汇总分析--俄罗斯'!B154</f>
        <v>0</v>
      </c>
      <c r="C154" s="37">
        <f>'[2]2026年度男装数据汇总分析--俄罗斯'!C154</f>
        <v>0</v>
      </c>
      <c r="D154" s="37">
        <f>'[2]2026年度男装数据汇总分析--俄罗斯'!D154</f>
        <v>0</v>
      </c>
      <c r="E154" s="37">
        <f>'[2]2026年度男装数据汇总分析--俄罗斯'!E154</f>
        <v>0</v>
      </c>
      <c r="F154" s="37">
        <f>'[2]2026年度男装数据汇总分析--俄罗斯'!F154</f>
        <v>0</v>
      </c>
      <c r="G154" s="37">
        <f>'[2]2026年度男装数据汇总分析--俄罗斯'!G154</f>
        <v>0</v>
      </c>
      <c r="H154" s="37">
        <f>'[2]2026年度男装数据汇总分析--俄罗斯'!H154</f>
        <v>0</v>
      </c>
      <c r="I154" s="37">
        <f>'[2]2026年度男装数据汇总分析--俄罗斯'!I154</f>
        <v>0</v>
      </c>
      <c r="J154" s="37">
        <f>'[2]2026年度男装数据汇总分析--俄罗斯'!J154</f>
        <v>0</v>
      </c>
      <c r="K154" s="37">
        <f>'[2]2026年度男装数据汇总分析--俄罗斯'!K154</f>
        <v>0</v>
      </c>
      <c r="L154" s="37">
        <f>'[2]2026年度男装数据汇总分析--俄罗斯'!L154</f>
        <v>0</v>
      </c>
      <c r="M154" s="37">
        <f>'[2]2026年度男装数据汇总分析--俄罗斯'!M154</f>
        <v>0</v>
      </c>
      <c r="N154" s="37">
        <f>'[2]2026年度男装数据汇总分析--俄罗斯'!N154</f>
        <v>0</v>
      </c>
      <c r="O154" s="37">
        <f>'[2]2026年度男装数据汇总分析--俄罗斯'!O154</f>
        <v>0</v>
      </c>
    </row>
    <row r="155" spans="1:15">
      <c r="A155" s="37">
        <f>'[2]2026年度男装数据汇总分析--俄罗斯'!A155</f>
        <v>0</v>
      </c>
      <c r="B155" s="37">
        <f>'[2]2026年度男装数据汇总分析--俄罗斯'!B155</f>
        <v>0</v>
      </c>
      <c r="C155" s="37">
        <f>'[2]2026年度男装数据汇总分析--俄罗斯'!C155</f>
        <v>0</v>
      </c>
      <c r="D155" s="37">
        <f>'[2]2026年度男装数据汇总分析--俄罗斯'!D155</f>
        <v>0</v>
      </c>
      <c r="E155" s="37">
        <f>'[2]2026年度男装数据汇总分析--俄罗斯'!E155</f>
        <v>0</v>
      </c>
      <c r="F155" s="37">
        <f>'[2]2026年度男装数据汇总分析--俄罗斯'!F155</f>
        <v>0</v>
      </c>
      <c r="G155" s="37">
        <f>'[2]2026年度男装数据汇总分析--俄罗斯'!G155</f>
        <v>0</v>
      </c>
      <c r="H155" s="37">
        <f>'[2]2026年度男装数据汇总分析--俄罗斯'!H155</f>
        <v>0</v>
      </c>
      <c r="I155" s="37">
        <f>'[2]2026年度男装数据汇总分析--俄罗斯'!I155</f>
        <v>0</v>
      </c>
      <c r="J155" s="37">
        <f>'[2]2026年度男装数据汇总分析--俄罗斯'!J155</f>
        <v>0</v>
      </c>
      <c r="K155" s="37">
        <f>'[2]2026年度男装数据汇总分析--俄罗斯'!K155</f>
        <v>0</v>
      </c>
      <c r="L155" s="37">
        <f>'[2]2026年度男装数据汇总分析--俄罗斯'!L155</f>
        <v>0</v>
      </c>
      <c r="M155" s="37">
        <f>'[2]2026年度男装数据汇总分析--俄罗斯'!M155</f>
        <v>0</v>
      </c>
      <c r="N155" s="37">
        <f>'[2]2026年度男装数据汇总分析--俄罗斯'!N155</f>
        <v>0</v>
      </c>
      <c r="O155" s="37">
        <f>'[2]2026年度男装数据汇总分析--俄罗斯'!O155</f>
        <v>0</v>
      </c>
    </row>
    <row r="156" spans="1:15">
      <c r="A156" s="37">
        <f>'[2]2026年度男装数据汇总分析--俄罗斯'!A156</f>
        <v>0</v>
      </c>
      <c r="B156" s="37">
        <f>'[2]2026年度男装数据汇总分析--俄罗斯'!B156</f>
        <v>0</v>
      </c>
      <c r="C156" s="37">
        <f>'[2]2026年度男装数据汇总分析--俄罗斯'!C156</f>
        <v>0</v>
      </c>
      <c r="D156" s="37">
        <f>'[2]2026年度男装数据汇总分析--俄罗斯'!D156</f>
        <v>0</v>
      </c>
      <c r="E156" s="37">
        <f>'[2]2026年度男装数据汇总分析--俄罗斯'!E156</f>
        <v>0</v>
      </c>
      <c r="F156" s="37">
        <f>'[2]2026年度男装数据汇总分析--俄罗斯'!F156</f>
        <v>0</v>
      </c>
      <c r="G156" s="37">
        <f>'[2]2026年度男装数据汇总分析--俄罗斯'!G156</f>
        <v>0</v>
      </c>
      <c r="H156" s="37">
        <f>'[2]2026年度男装数据汇总分析--俄罗斯'!H156</f>
        <v>0</v>
      </c>
      <c r="I156" s="37">
        <f>'[2]2026年度男装数据汇总分析--俄罗斯'!I156</f>
        <v>0</v>
      </c>
      <c r="J156" s="37">
        <f>'[2]2026年度男装数据汇总分析--俄罗斯'!J156</f>
        <v>0</v>
      </c>
      <c r="K156" s="37">
        <f>'[2]2026年度男装数据汇总分析--俄罗斯'!K156</f>
        <v>0</v>
      </c>
      <c r="L156" s="37">
        <f>'[2]2026年度男装数据汇总分析--俄罗斯'!L156</f>
        <v>0</v>
      </c>
      <c r="M156" s="37">
        <f>'[2]2026年度男装数据汇总分析--俄罗斯'!M156</f>
        <v>0</v>
      </c>
      <c r="N156" s="37">
        <f>'[2]2026年度男装数据汇总分析--俄罗斯'!N156</f>
        <v>0</v>
      </c>
      <c r="O156" s="37">
        <f>'[2]2026年度男装数据汇总分析--俄罗斯'!O156</f>
        <v>0</v>
      </c>
    </row>
    <row r="157" spans="1:15">
      <c r="A157" s="37">
        <f>'[2]2026年度男装数据汇总分析--俄罗斯'!A157</f>
        <v>0</v>
      </c>
      <c r="B157" s="37">
        <f>'[2]2026年度男装数据汇总分析--俄罗斯'!B157</f>
        <v>0</v>
      </c>
      <c r="C157" s="37">
        <f>'[2]2026年度男装数据汇总分析--俄罗斯'!C157</f>
        <v>0</v>
      </c>
      <c r="D157" s="37">
        <f>'[2]2026年度男装数据汇总分析--俄罗斯'!D157</f>
        <v>0</v>
      </c>
      <c r="E157" s="37">
        <f>'[2]2026年度男装数据汇总分析--俄罗斯'!E157</f>
        <v>0</v>
      </c>
      <c r="F157" s="37">
        <f>'[2]2026年度男装数据汇总分析--俄罗斯'!F157</f>
        <v>0</v>
      </c>
      <c r="G157" s="37">
        <f>'[2]2026年度男装数据汇总分析--俄罗斯'!G157</f>
        <v>0</v>
      </c>
      <c r="H157" s="37">
        <f>'[2]2026年度男装数据汇总分析--俄罗斯'!H157</f>
        <v>0</v>
      </c>
      <c r="I157" s="37">
        <f>'[2]2026年度男装数据汇总分析--俄罗斯'!I157</f>
        <v>0</v>
      </c>
      <c r="J157" s="37">
        <f>'[2]2026年度男装数据汇总分析--俄罗斯'!J157</f>
        <v>0</v>
      </c>
      <c r="K157" s="37">
        <f>'[2]2026年度男装数据汇总分析--俄罗斯'!K157</f>
        <v>0</v>
      </c>
      <c r="L157" s="37">
        <f>'[2]2026年度男装数据汇总分析--俄罗斯'!L157</f>
        <v>0</v>
      </c>
      <c r="M157" s="37">
        <f>'[2]2026年度男装数据汇总分析--俄罗斯'!M157</f>
        <v>0</v>
      </c>
      <c r="N157" s="37">
        <f>'[2]2026年度男装数据汇总分析--俄罗斯'!N157</f>
        <v>0</v>
      </c>
      <c r="O157" s="37">
        <f>'[2]2026年度男装数据汇总分析--俄罗斯'!O157</f>
        <v>0</v>
      </c>
    </row>
    <row r="158" spans="1:15">
      <c r="A158" s="37">
        <f>'[2]2026年度男装数据汇总分析--俄罗斯'!A158</f>
        <v>0</v>
      </c>
      <c r="B158" s="37">
        <f>'[2]2026年度男装数据汇总分析--俄罗斯'!B158</f>
        <v>0</v>
      </c>
      <c r="C158" s="37">
        <f>'[2]2026年度男装数据汇总分析--俄罗斯'!C158</f>
        <v>0</v>
      </c>
      <c r="D158" s="37">
        <f>'[2]2026年度男装数据汇总分析--俄罗斯'!D158</f>
        <v>0</v>
      </c>
      <c r="E158" s="37">
        <f>'[2]2026年度男装数据汇总分析--俄罗斯'!E158</f>
        <v>0</v>
      </c>
      <c r="F158" s="37">
        <f>'[2]2026年度男装数据汇总分析--俄罗斯'!F158</f>
        <v>0</v>
      </c>
      <c r="G158" s="37">
        <f>'[2]2026年度男装数据汇总分析--俄罗斯'!G158</f>
        <v>0</v>
      </c>
      <c r="H158" s="37">
        <f>'[2]2026年度男装数据汇总分析--俄罗斯'!H158</f>
        <v>0</v>
      </c>
      <c r="I158" s="37">
        <f>'[2]2026年度男装数据汇总分析--俄罗斯'!I158</f>
        <v>0</v>
      </c>
      <c r="J158" s="37">
        <f>'[2]2026年度男装数据汇总分析--俄罗斯'!J158</f>
        <v>0</v>
      </c>
      <c r="K158" s="37">
        <f>'[2]2026年度男装数据汇总分析--俄罗斯'!K158</f>
        <v>0</v>
      </c>
      <c r="L158" s="37">
        <f>'[2]2026年度男装数据汇总分析--俄罗斯'!L158</f>
        <v>0</v>
      </c>
      <c r="M158" s="37">
        <f>'[2]2026年度男装数据汇总分析--俄罗斯'!M158</f>
        <v>0</v>
      </c>
      <c r="N158" s="37">
        <f>'[2]2026年度男装数据汇总分析--俄罗斯'!N158</f>
        <v>0</v>
      </c>
      <c r="O158" s="37">
        <f>'[2]2026年度男装数据汇总分析--俄罗斯'!O158</f>
        <v>0</v>
      </c>
    </row>
    <row r="159" spans="1:15">
      <c r="A159" s="37">
        <f>'[2]2026年度男装数据汇总分析--俄罗斯'!A159</f>
        <v>0</v>
      </c>
      <c r="B159" s="37">
        <f>'[2]2026年度男装数据汇总分析--俄罗斯'!B159</f>
        <v>0</v>
      </c>
      <c r="C159" s="37">
        <f>'[2]2026年度男装数据汇总分析--俄罗斯'!C159</f>
        <v>0</v>
      </c>
      <c r="D159" s="37">
        <f>'[2]2026年度男装数据汇总分析--俄罗斯'!D159</f>
        <v>0</v>
      </c>
      <c r="E159" s="37">
        <f>'[2]2026年度男装数据汇总分析--俄罗斯'!E159</f>
        <v>0</v>
      </c>
      <c r="F159" s="37">
        <f>'[2]2026年度男装数据汇总分析--俄罗斯'!F159</f>
        <v>0</v>
      </c>
      <c r="G159" s="37">
        <f>'[2]2026年度男装数据汇总分析--俄罗斯'!G159</f>
        <v>0</v>
      </c>
      <c r="H159" s="37">
        <f>'[2]2026年度男装数据汇总分析--俄罗斯'!H159</f>
        <v>0</v>
      </c>
      <c r="I159" s="37">
        <f>'[2]2026年度男装数据汇总分析--俄罗斯'!I159</f>
        <v>0</v>
      </c>
      <c r="J159" s="37">
        <f>'[2]2026年度男装数据汇总分析--俄罗斯'!J159</f>
        <v>0</v>
      </c>
      <c r="K159" s="37">
        <f>'[2]2026年度男装数据汇总分析--俄罗斯'!K159</f>
        <v>0</v>
      </c>
      <c r="L159" s="37">
        <f>'[2]2026年度男装数据汇总分析--俄罗斯'!L159</f>
        <v>0</v>
      </c>
      <c r="M159" s="37">
        <f>'[2]2026年度男装数据汇总分析--俄罗斯'!M159</f>
        <v>0</v>
      </c>
      <c r="N159" s="37">
        <f>'[2]2026年度男装数据汇总分析--俄罗斯'!N159</f>
        <v>0</v>
      </c>
      <c r="O159" s="37">
        <f>'[2]2026年度男装数据汇总分析--俄罗斯'!O159</f>
        <v>0</v>
      </c>
    </row>
    <row r="160" spans="1:15">
      <c r="A160" s="37">
        <f>'[2]2026年度男装数据汇总分析--俄罗斯'!A160</f>
        <v>0</v>
      </c>
      <c r="B160" s="37">
        <f>'[2]2026年度男装数据汇总分析--俄罗斯'!B160</f>
        <v>0</v>
      </c>
      <c r="C160" s="37">
        <f>'[2]2026年度男装数据汇总分析--俄罗斯'!C160</f>
        <v>0</v>
      </c>
      <c r="D160" s="37">
        <f>'[2]2026年度男装数据汇总分析--俄罗斯'!D160</f>
        <v>0</v>
      </c>
      <c r="E160" s="37">
        <f>'[2]2026年度男装数据汇总分析--俄罗斯'!E160</f>
        <v>0</v>
      </c>
      <c r="F160" s="37">
        <f>'[2]2026年度男装数据汇总分析--俄罗斯'!F160</f>
        <v>0</v>
      </c>
      <c r="G160" s="37">
        <f>'[2]2026年度男装数据汇总分析--俄罗斯'!G160</f>
        <v>0</v>
      </c>
      <c r="H160" s="37">
        <f>'[2]2026年度男装数据汇总分析--俄罗斯'!H160</f>
        <v>0</v>
      </c>
      <c r="I160" s="37">
        <f>'[2]2026年度男装数据汇总分析--俄罗斯'!I160</f>
        <v>0</v>
      </c>
      <c r="J160" s="37">
        <f>'[2]2026年度男装数据汇总分析--俄罗斯'!J160</f>
        <v>0</v>
      </c>
      <c r="K160" s="37">
        <f>'[2]2026年度男装数据汇总分析--俄罗斯'!K160</f>
        <v>0</v>
      </c>
      <c r="L160" s="37">
        <f>'[2]2026年度男装数据汇总分析--俄罗斯'!L160</f>
        <v>0</v>
      </c>
      <c r="M160" s="37">
        <f>'[2]2026年度男装数据汇总分析--俄罗斯'!M160</f>
        <v>0</v>
      </c>
      <c r="N160" s="37">
        <f>'[2]2026年度男装数据汇总分析--俄罗斯'!N160</f>
        <v>0</v>
      </c>
      <c r="O160" s="37">
        <f>'[2]2026年度男装数据汇总分析--俄罗斯'!O160</f>
        <v>0</v>
      </c>
    </row>
    <row r="161" spans="1:15">
      <c r="A161" s="37">
        <f>'[2]2026年度男装数据汇总分析--俄罗斯'!A161</f>
        <v>0</v>
      </c>
      <c r="B161" s="37">
        <f>'[2]2026年度男装数据汇总分析--俄罗斯'!B161</f>
        <v>0</v>
      </c>
      <c r="C161" s="37">
        <f>'[2]2026年度男装数据汇总分析--俄罗斯'!C161</f>
        <v>0</v>
      </c>
      <c r="D161" s="37">
        <f>'[2]2026年度男装数据汇总分析--俄罗斯'!D161</f>
        <v>0</v>
      </c>
      <c r="E161" s="37">
        <f>'[2]2026年度男装数据汇总分析--俄罗斯'!E161</f>
        <v>0</v>
      </c>
      <c r="F161" s="37">
        <f>'[2]2026年度男装数据汇总分析--俄罗斯'!F161</f>
        <v>0</v>
      </c>
      <c r="G161" s="37">
        <f>'[2]2026年度男装数据汇总分析--俄罗斯'!G161</f>
        <v>0</v>
      </c>
      <c r="H161" s="37">
        <f>'[2]2026年度男装数据汇总分析--俄罗斯'!H161</f>
        <v>0</v>
      </c>
      <c r="I161" s="37">
        <f>'[2]2026年度男装数据汇总分析--俄罗斯'!I161</f>
        <v>0</v>
      </c>
      <c r="J161" s="37">
        <f>'[2]2026年度男装数据汇总分析--俄罗斯'!J161</f>
        <v>0</v>
      </c>
      <c r="K161" s="37">
        <f>'[2]2026年度男装数据汇总分析--俄罗斯'!K161</f>
        <v>0</v>
      </c>
      <c r="L161" s="37">
        <f>'[2]2026年度男装数据汇总分析--俄罗斯'!L161</f>
        <v>0</v>
      </c>
      <c r="M161" s="37">
        <f>'[2]2026年度男装数据汇总分析--俄罗斯'!M161</f>
        <v>0</v>
      </c>
      <c r="N161" s="37">
        <f>'[2]2026年度男装数据汇总分析--俄罗斯'!N161</f>
        <v>0</v>
      </c>
      <c r="O161" s="37">
        <f>'[2]2026年度男装数据汇总分析--俄罗斯'!O161</f>
        <v>0</v>
      </c>
    </row>
    <row r="162" spans="1:15">
      <c r="A162" s="37">
        <f>'[2]2026年度男装数据汇总分析--俄罗斯'!A162</f>
        <v>0</v>
      </c>
      <c r="B162" s="37">
        <f>'[2]2026年度男装数据汇总分析--俄罗斯'!B162</f>
        <v>0</v>
      </c>
      <c r="C162" s="37">
        <f>'[2]2026年度男装数据汇总分析--俄罗斯'!C162</f>
        <v>0</v>
      </c>
      <c r="D162" s="37">
        <f>'[2]2026年度男装数据汇总分析--俄罗斯'!D162</f>
        <v>0</v>
      </c>
      <c r="E162" s="37">
        <f>'[2]2026年度男装数据汇总分析--俄罗斯'!E162</f>
        <v>0</v>
      </c>
      <c r="F162" s="37">
        <f>'[2]2026年度男装数据汇总分析--俄罗斯'!F162</f>
        <v>0</v>
      </c>
      <c r="G162" s="37">
        <f>'[2]2026年度男装数据汇总分析--俄罗斯'!G162</f>
        <v>0</v>
      </c>
      <c r="H162" s="37">
        <f>'[2]2026年度男装数据汇总分析--俄罗斯'!H162</f>
        <v>0</v>
      </c>
      <c r="I162" s="37">
        <f>'[2]2026年度男装数据汇总分析--俄罗斯'!I162</f>
        <v>0</v>
      </c>
      <c r="J162" s="37">
        <f>'[2]2026年度男装数据汇总分析--俄罗斯'!J162</f>
        <v>0</v>
      </c>
      <c r="K162" s="37">
        <f>'[2]2026年度男装数据汇总分析--俄罗斯'!K162</f>
        <v>0</v>
      </c>
      <c r="L162" s="37">
        <f>'[2]2026年度男装数据汇总分析--俄罗斯'!L162</f>
        <v>0</v>
      </c>
      <c r="M162" s="37">
        <f>'[2]2026年度男装数据汇总分析--俄罗斯'!M162</f>
        <v>0</v>
      </c>
      <c r="N162" s="37">
        <f>'[2]2026年度男装数据汇总分析--俄罗斯'!N162</f>
        <v>0</v>
      </c>
      <c r="O162" s="37">
        <f>'[2]2026年度男装数据汇总分析--俄罗斯'!O162</f>
        <v>0</v>
      </c>
    </row>
    <row r="335" s="37" customFormat="1" spans="1:13">
      <c r="A335" s="40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60"/>
    </row>
    <row r="336" s="37" customFormat="1" spans="1:13">
      <c r="A336" s="42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61"/>
    </row>
    <row r="337" s="37" customFormat="1" spans="1:13">
      <c r="A337" s="44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62"/>
    </row>
    <row r="338" s="37" customFormat="1" spans="1:13">
      <c r="A338" s="46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63"/>
    </row>
    <row r="339" s="37" customFormat="1" spans="1:13">
      <c r="A339" s="46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63"/>
    </row>
    <row r="340" s="37" customFormat="1" spans="1:13">
      <c r="A340" s="46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63"/>
    </row>
    <row r="341" s="37" customFormat="1" spans="1:13">
      <c r="A341" s="46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63"/>
    </row>
    <row r="342" s="37" customFormat="1" spans="1:13">
      <c r="A342" s="46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63"/>
    </row>
    <row r="343" s="37" customFormat="1" spans="1:13">
      <c r="A343" s="42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61"/>
    </row>
    <row r="344" s="37" customFormat="1" spans="1:13">
      <c r="A344" s="44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62"/>
    </row>
    <row r="345" s="37" customFormat="1" spans="1:13">
      <c r="A345" s="46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63"/>
    </row>
    <row r="346" s="37" customFormat="1" spans="1:13">
      <c r="A346" s="46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63"/>
    </row>
    <row r="347" s="37" customFormat="1" spans="1:13">
      <c r="A347" s="46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63"/>
    </row>
    <row r="348" s="37" customFormat="1" spans="1:13">
      <c r="A348" s="46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63"/>
    </row>
    <row r="349" s="37" customFormat="1" spans="1:13">
      <c r="A349" s="46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63"/>
    </row>
    <row r="350" s="37" customFormat="1" spans="1:13">
      <c r="A350" s="46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63"/>
    </row>
    <row r="351" s="37" customFormat="1" spans="1:13">
      <c r="A351" s="46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63"/>
    </row>
    <row r="352" s="37" customFormat="1" spans="1:13">
      <c r="A352" s="48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64"/>
    </row>
    <row r="353" s="37" customFormat="1" spans="1:13">
      <c r="A353" s="50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65"/>
    </row>
    <row r="354" s="37" customFormat="1" spans="1:13">
      <c r="A354" s="46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</row>
    <row r="355" s="37" customFormat="1" spans="1:13">
      <c r="A355" s="46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63"/>
    </row>
    <row r="356" s="37" customFormat="1" spans="1:13">
      <c r="A356" s="52"/>
      <c r="B356" s="53"/>
      <c r="C356" s="54"/>
      <c r="D356" s="54"/>
      <c r="E356" s="54"/>
      <c r="F356" s="53"/>
      <c r="G356" s="53"/>
      <c r="H356" s="53"/>
      <c r="I356" s="54"/>
      <c r="J356" s="54"/>
      <c r="K356" s="54"/>
      <c r="L356" s="53"/>
      <c r="M356" s="66"/>
    </row>
    <row r="357" s="37" customFormat="1" spans="1:13">
      <c r="A357" s="42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61"/>
    </row>
    <row r="358" s="37" customFormat="1" spans="1:13">
      <c r="A358" s="44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62"/>
    </row>
    <row r="359" s="37" customFormat="1" spans="1:13">
      <c r="A359" s="46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</row>
    <row r="360" s="37" customFormat="1" spans="1:13">
      <c r="A360" s="46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63"/>
    </row>
    <row r="361" s="37" customFormat="1" spans="1:13">
      <c r="A361" s="46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</row>
    <row r="362" s="37" customFormat="1" spans="1:13">
      <c r="A362" s="46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</row>
    <row r="363" s="37" customFormat="1" spans="1:13">
      <c r="A363" s="52"/>
      <c r="B363" s="56"/>
      <c r="C363" s="57"/>
      <c r="D363" s="57"/>
      <c r="E363" s="56"/>
      <c r="F363" s="57"/>
      <c r="G363" s="57"/>
      <c r="H363" s="56"/>
      <c r="I363" s="57"/>
      <c r="J363" s="57"/>
      <c r="K363" s="56"/>
      <c r="L363" s="57"/>
      <c r="M363" s="57"/>
    </row>
    <row r="364" s="37" customFormat="1" ht="16.35" spans="1:13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{ec3abd82-a414-4476-9a74-8fd433f846a7}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{ad81e660-adb2-4c44-ba2c-cb32f9409e11}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{dc93f3a9-c583-4f29-9b0d-8667fe64ced6}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{64e19edc-281a-492c-9bfa-5757f6d7f4b3}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{6eb20218-6da8-449d-88a5-4c7cfee3a9d3}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{880c0b46-21ed-470c-afb5-5b57a55fa534}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{789db2cc-577d-46b2-9e87-1836ad337da8}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{82437995-34b7-43b9-87c1-de075b1b2394}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{0d56f005-0198-4d6a-896f-dc64e377ca60}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{eae55dd0-f6e8-480a-8346-b42e42b5c8a8}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{592992a1-831f-4749-977b-7b9b7456c46f}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{0e07c3e9-066f-4ed7-aa44-dae1e91b4b47}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{72c4bac1-3e03-46f5-8ae2-4eb5bfa9a360}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{0d83b2f4-558d-4203-b5ef-349d2d341b26}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{b4934688-0cf8-4319-92ff-35372a11c2e1}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{fd126515-fd4a-43f8-b379-92abd763a227}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{cbd28c9e-25b7-422c-bf8c-0e3f9f21b031}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{57ee7dcb-df9c-462e-b650-0c321a1be40f}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{1b2198fe-2011-4d5f-83eb-5132685df21e}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{85bbce98-7e23-4a66-8a4d-f6b6ed0b9cb0}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{d2a8b3d2-a6a0-416a-b85b-31083ae501d5}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{0364943d-d06f-4c37-be88-7826407e9695}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{fe4eb5b9-8f9a-47a6-9f2b-b227c6f9b927}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{57b11a37-fa9f-428a-abd8-4e99ba3f00e7}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{d147febf-3e2b-433b-a7c6-0d3aeb3dc7b6}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{61384d78-5d07-49fe-ad7c-a44ce1ab1163}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{d43cbea3-e695-4982-b6c4-7eabfd694c43}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{712d799c-ce57-4f15-98a6-cbea8ce88d04}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{ba9210c7-4e29-47d2-a335-0718d03f238c}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{82d0d6e6-6736-44e8-a09d-47f777db27ad}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{02256ed3-46bd-4d20-9ab3-d19c36967293}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{dbe685ab-7d2b-4a12-abd6-80ecc8eaf52d}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3abd82-a414-4476-9a74-8fd433f846a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ad81e660-adb2-4c44-ba2c-cb32f9409e1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dc93f3a9-c583-4f29-9b0d-8667fe64ce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64e19edc-281a-492c-9bfa-5757f6d7f4b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6eb20218-6da8-449d-88a5-4c7cfee3a9d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880c0b46-21ed-470c-afb5-5b57a55fa53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789db2cc-577d-46b2-9e87-1836ad337da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82437995-34b7-43b9-87c1-de075b1b239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0d56f005-0198-4d6a-896f-dc64e377ca6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eae55dd0-f6e8-480a-8346-b42e42b5c8a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592992a1-831f-4749-977b-7b9b7456c46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0e07c3e9-066f-4ed7-aa44-dae1e91b4b4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72c4bac1-3e03-46f5-8ae2-4eb5bfa9a36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0d83b2f4-558d-4203-b5ef-349d2d341b2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b4934688-0cf8-4319-92ff-35372a11c2e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fd126515-fd4a-43f8-b379-92abd763a22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cbd28c9e-25b7-422c-bf8c-0e3f9f21b0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57ee7dcb-df9c-462e-b650-0c321a1be40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1b2198fe-2011-4d5f-83eb-5132685df21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85bbce98-7e23-4a66-8a4d-f6b6ed0b9cb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d2a8b3d2-a6a0-416a-b85b-31083ae501d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0364943d-d06f-4c37-be88-7826407e96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fe4eb5b9-8f9a-47a6-9f2b-b227c6f9b92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57b11a37-fa9f-428a-abd8-4e99ba3f00e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d147febf-3e2b-433b-a7c6-0d3aeb3dc7b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61384d78-5d07-49fe-ad7c-a44ce1ab116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d43cbea3-e695-4982-b6c4-7eabfd694c4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712d799c-ce57-4f15-98a6-cbea8ce88d0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ba9210c7-4e29-47d2-a335-0718d03f238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82d0d6e6-6736-44e8-a09d-47f777db27a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02256ed3-46bd-4d20-9ab3-d19c3696729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dbe685ab-7d2b-4a12-abd6-80ecc8eaf52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6" sqref="C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1841615.38</v>
      </c>
      <c r="D4" s="4"/>
      <c r="E4" s="4"/>
      <c r="F4" s="3">
        <f>(F7+G7+H7)</f>
        <v>1069636.19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0.815797544649094</v>
      </c>
      <c r="D5" s="5"/>
      <c r="E5" s="5"/>
      <c r="F5" s="6">
        <f>(F7+G7+H7)/(F6+G6+H6)</f>
        <v>0.532870146140822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[3]总目标!B18</f>
        <v>622242.554098361</v>
      </c>
      <c r="D6" s="9">
        <f>[3]总目标!C18</f>
        <v>926202.855737705</v>
      </c>
      <c r="E6" s="9">
        <f>[3]总目标!D18</f>
        <v>708996.270491803</v>
      </c>
      <c r="F6" s="9">
        <f>[3]总目标!E18</f>
        <v>720242.50204918</v>
      </c>
      <c r="G6" s="9">
        <f>[3]总目标!F18</f>
        <v>690073.450819672</v>
      </c>
      <c r="H6" s="9">
        <f>[3]总目标!G18</f>
        <v>596995.204918033</v>
      </c>
      <c r="I6" s="9">
        <f>[3]总目标!H18</f>
        <v>773183.927254098</v>
      </c>
      <c r="J6" s="9">
        <f>[3]总目标!I18</f>
        <v>743318.084016393</v>
      </c>
      <c r="K6" s="9">
        <f>[3]总目标!J18</f>
        <v>721062.795081967</v>
      </c>
      <c r="L6" s="9">
        <f>[3]总目标!K18</f>
        <v>697802.704918033</v>
      </c>
      <c r="M6" s="9">
        <f>[3]总目标!L18</f>
        <v>721062.795081967</v>
      </c>
      <c r="N6" s="9">
        <f>[3]总目标!M18</f>
        <v>471239.131147541</v>
      </c>
      <c r="O6" s="28">
        <f>SUM(C6:N6)</f>
        <v>8392422.27561475</v>
      </c>
    </row>
    <row r="7" ht="15.6" spans="1:15">
      <c r="A7" s="10"/>
      <c r="B7" s="11" t="s">
        <v>25</v>
      </c>
      <c r="C7" s="12">
        <f>[3]总目标!B19+[3]总目标!B20+[3]总目标!B21+[3]总目标!B22+[3]总目标!B23</f>
        <v>0</v>
      </c>
      <c r="D7" s="12">
        <f>[3]总目标!C19+[3]总目标!C20+[3]总目标!C21+[3]总目标!C22+[3]总目标!C23</f>
        <v>1166041.2</v>
      </c>
      <c r="E7" s="12">
        <f>[3]总目标!D19+[3]总目标!D20+[3]总目标!D21+[3]总目标!D22+[3]总目标!D23</f>
        <v>675574.18</v>
      </c>
      <c r="F7" s="12">
        <f>[3]总目标!E19+[3]总目标!E20+[3]总目标!E21+[3]总目标!E22+[3]总目标!E23</f>
        <v>916564.03</v>
      </c>
      <c r="G7" s="12">
        <f>[3]总目标!F19+[3]总目标!F20+[3]总目标!F21+[3]总目标!F22+[3]总目标!F23</f>
        <v>153072.16</v>
      </c>
      <c r="H7" s="12">
        <f>[3]总目标!G19+[3]总目标!G20+[3]总目标!G21+[3]总目标!G22+[3]总目标!G23</f>
        <v>0</v>
      </c>
      <c r="I7" s="12">
        <f>[3]总目标!H19+[3]总目标!H20+[3]总目标!H21+[3]总目标!H22+[3]总目标!H23</f>
        <v>0</v>
      </c>
      <c r="J7" s="12">
        <f>[3]总目标!I19+[3]总目标!I20+[3]总目标!I21+[3]总目标!I22+[3]总目标!I23</f>
        <v>0</v>
      </c>
      <c r="K7" s="12">
        <f>[3]总目标!J19+[3]总目标!J20+[3]总目标!J21+[3]总目标!J22+[3]总目标!J23</f>
        <v>0</v>
      </c>
      <c r="L7" s="12">
        <f>[3]总目标!K19+[3]总目标!K20+[3]总目标!K21+[3]总目标!K22+[3]总目标!K23</f>
        <v>0</v>
      </c>
      <c r="M7" s="12">
        <f>[3]总目标!L19+[3]总目标!L20+[3]总目标!L21+[3]总目标!L22+[3]总目标!L23</f>
        <v>0</v>
      </c>
      <c r="N7" s="12">
        <f>[3]总目标!M19+[3]总目标!M20+[3]总目标!M21+[3]总目标!M22+[3]总目标!M23</f>
        <v>0</v>
      </c>
      <c r="O7" s="12">
        <f>SUM(C7:N7)</f>
        <v>2911251.57</v>
      </c>
    </row>
    <row r="8" ht="15.6" spans="1:15">
      <c r="A8" s="10"/>
      <c r="B8" s="1" t="s">
        <v>26</v>
      </c>
      <c r="C8" s="20">
        <f>C7/C6</f>
        <v>0</v>
      </c>
      <c r="D8" s="20">
        <f t="shared" ref="D8:O8" si="0">D7/D6</f>
        <v>1.25894796455931</v>
      </c>
      <c r="E8" s="20">
        <f t="shared" si="0"/>
        <v>0.952859991113043</v>
      </c>
      <c r="F8" s="20">
        <f t="shared" si="0"/>
        <v>1.27257698260275</v>
      </c>
      <c r="G8" s="20">
        <f t="shared" si="0"/>
        <v>0.221820097292803</v>
      </c>
      <c r="H8" s="20">
        <f t="shared" si="0"/>
        <v>0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0.346890501263147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陈欣诺!C10+林梓蕾!C10</f>
        <v>31330.7622461171</v>
      </c>
      <c r="D10" s="17">
        <f>陈欣诺!D10+林梓蕾!D10</f>
        <v>40765</v>
      </c>
      <c r="E10" s="17">
        <f>陈欣诺!E10+林梓蕾!E10</f>
        <v>40050</v>
      </c>
      <c r="F10" s="17">
        <f>陈欣诺!F10+林梓蕾!F10</f>
        <v>41850</v>
      </c>
      <c r="G10" s="17">
        <f>陈欣诺!G10+林梓蕾!G10</f>
        <v>41250</v>
      </c>
      <c r="H10" s="17">
        <f>陈欣诺!H10+林梓蕾!H10</f>
        <v>49445</v>
      </c>
      <c r="I10" s="17">
        <f>陈欣诺!I10+林梓蕾!I10</f>
        <v>58590</v>
      </c>
      <c r="J10" s="17">
        <f>陈欣诺!J10+林梓蕾!J10</f>
        <v>54300</v>
      </c>
      <c r="K10" s="17">
        <f>陈欣诺!K10+林梓蕾!K10</f>
        <v>54405</v>
      </c>
      <c r="L10" s="17">
        <f>陈欣诺!L10+林梓蕾!L10</f>
        <v>52800</v>
      </c>
      <c r="M10" s="17">
        <f>陈欣诺!M10+林梓蕾!M10</f>
        <v>54560</v>
      </c>
      <c r="N10" s="17">
        <f>陈欣诺!N10+林梓蕾!N10</f>
        <v>40083</v>
      </c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陈欣诺!C14+林梓蕾!C14</f>
        <v>10156.6162962963</v>
      </c>
      <c r="D14" s="17">
        <f>陈欣诺!D14+林梓蕾!D14</f>
        <v>12968.85</v>
      </c>
      <c r="E14" s="17">
        <f>陈欣诺!E14+林梓蕾!E14</f>
        <v>12721.5</v>
      </c>
      <c r="F14" s="17">
        <f>陈欣诺!F14+林梓蕾!F14</f>
        <v>13286.6</v>
      </c>
      <c r="G14" s="17">
        <f>陈欣诺!G14+林梓蕾!G14</f>
        <v>13093.5</v>
      </c>
      <c r="H14" s="17">
        <f>陈欣诺!H14+林梓蕾!H14</f>
        <v>14962.15</v>
      </c>
      <c r="I14" s="17">
        <f>陈欣诺!I14+林梓蕾!I14</f>
        <v>17608</v>
      </c>
      <c r="J14" s="17">
        <f>陈欣诺!J14+林梓蕾!J14</f>
        <v>16297.5</v>
      </c>
      <c r="K14" s="17">
        <f>陈欣诺!K14+林梓蕾!K14</f>
        <v>16368</v>
      </c>
      <c r="L14" s="17">
        <f>陈欣诺!L14+林梓蕾!L14</f>
        <v>15888</v>
      </c>
      <c r="M14" s="17">
        <f>陈欣诺!M14+林梓蕾!M14</f>
        <v>16417.6</v>
      </c>
      <c r="N14" s="17">
        <f>陈欣诺!N14+林梓蕾!N14</f>
        <v>12018.7</v>
      </c>
      <c r="O14" s="30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陈欣诺!C18+林梓蕾!C18</f>
        <v>122951539</v>
      </c>
      <c r="D18" s="35">
        <f>陈欣诺!D18+林梓蕾!D18</f>
        <v>170044300</v>
      </c>
      <c r="E18" s="35">
        <f>陈欣诺!E18+林梓蕾!E18</f>
        <v>166590000</v>
      </c>
      <c r="F18" s="35">
        <f>陈欣诺!F18+林梓蕾!F18</f>
        <v>173739500</v>
      </c>
      <c r="G18" s="35">
        <f>陈欣诺!G18+林梓蕾!G18</f>
        <v>171447000</v>
      </c>
      <c r="H18" s="35">
        <f>陈欣诺!H18+林梓蕾!H18</f>
        <v>209460800</v>
      </c>
      <c r="I18" s="35">
        <f>陈欣诺!I18+林梓蕾!I18</f>
        <v>248798250</v>
      </c>
      <c r="J18" s="35">
        <f>陈欣诺!J18+林梓蕾!J18</f>
        <v>231705000</v>
      </c>
      <c r="K18" s="35">
        <f>陈欣诺!K18+林梓蕾!K18</f>
        <v>231934250</v>
      </c>
      <c r="L18" s="35">
        <f>陈欣诺!L18+林梓蕾!L18</f>
        <v>225075000</v>
      </c>
      <c r="M18" s="35">
        <f>陈欣诺!M18+林梓蕾!M18</f>
        <v>232577500</v>
      </c>
      <c r="N18" s="35">
        <f>陈欣诺!N18+林梓蕾!N18</f>
        <v>171092100</v>
      </c>
      <c r="O18" s="31"/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陈欣诺!C22+林梓蕾!C22</f>
        <v>3188142.048</v>
      </c>
      <c r="D22" s="21">
        <f>陈欣诺!D22+林梓蕾!D22</f>
        <v>4329256.64</v>
      </c>
      <c r="E22" s="21">
        <f>陈欣诺!E22+林梓蕾!E22</f>
        <v>4234896</v>
      </c>
      <c r="F22" s="21">
        <f>陈欣诺!F22+林梓蕾!F22</f>
        <v>4414610.8</v>
      </c>
      <c r="G22" s="21">
        <f>陈欣诺!G22+林梓蕾!G22</f>
        <v>4355493.6</v>
      </c>
      <c r="H22" s="21">
        <f>陈欣诺!H22+林梓蕾!H22</f>
        <v>5043633.04</v>
      </c>
      <c r="I22" s="21">
        <f>陈欣诺!I22+林梓蕾!I22</f>
        <v>5946289.8</v>
      </c>
      <c r="J22" s="21">
        <f>陈欣诺!J22+林梓蕾!J22</f>
        <v>5530098</v>
      </c>
      <c r="K22" s="21">
        <f>陈欣诺!K22+林梓蕾!K22</f>
        <v>5550029.2</v>
      </c>
      <c r="L22" s="21">
        <f>陈欣诺!L22+林梓蕾!L22</f>
        <v>5386932</v>
      </c>
      <c r="M22" s="21">
        <f>陈欣诺!M22+林梓蕾!M22</f>
        <v>5566496.4</v>
      </c>
      <c r="N22" s="21">
        <f>陈欣诺!N22+林梓蕾!N22</f>
        <v>4079104</v>
      </c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I38" sqref="I3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5.5555555555556" customWidth="1"/>
    <col min="9" max="13" width="15.1111111111111" customWidth="1"/>
    <col min="14" max="14" width="14.1111111111111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853927.179438701</v>
      </c>
      <c r="D4" s="4"/>
      <c r="E4" s="4"/>
      <c r="F4" s="3">
        <f>(F7+G7+H7)</f>
        <v>942119.47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0.792143661829141</v>
      </c>
      <c r="D5" s="5"/>
      <c r="E5" s="5"/>
      <c r="F5" s="6">
        <f>(F7+G7+H7)/(F6+G6+H6)</f>
        <v>0.942391249456729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[3]总目标!B44</f>
        <v>267032.554098361</v>
      </c>
      <c r="D6" s="9">
        <f>[3]总目标!C44</f>
        <v>454472.298360656</v>
      </c>
      <c r="E6" s="9">
        <f>[3]总目标!D44</f>
        <v>356490.491803279</v>
      </c>
      <c r="F6" s="9">
        <f>[3]总目标!E44</f>
        <v>373135.56557377</v>
      </c>
      <c r="G6" s="9">
        <f>[3]总目标!F44</f>
        <v>335343.491803279</v>
      </c>
      <c r="H6" s="9">
        <f>[3]总目标!G44</f>
        <v>291232.549180328</v>
      </c>
      <c r="I6" s="9">
        <f>[3]总目标!H44</f>
        <v>359127.885245902</v>
      </c>
      <c r="J6" s="9">
        <f>[3]总目标!I44</f>
        <v>345231.147540984</v>
      </c>
      <c r="K6" s="9">
        <f>[3]总目标!J44</f>
        <v>327791.967213115</v>
      </c>
      <c r="L6" s="9">
        <f>[3]总目标!K44</f>
        <v>319748.852459016</v>
      </c>
      <c r="M6" s="9">
        <f>[3]总目标!L44</f>
        <v>330407.147540984</v>
      </c>
      <c r="N6" s="9">
        <f>[3]总目标!M44</f>
        <v>214260.819672131</v>
      </c>
      <c r="O6" s="28">
        <f t="shared" ref="O6:O10" si="0">SUM(C6:N6)</f>
        <v>3974274.7704918</v>
      </c>
    </row>
    <row r="7" ht="15.6" spans="1:15">
      <c r="A7" s="10"/>
      <c r="B7" s="11" t="s">
        <v>25</v>
      </c>
      <c r="C7" s="12">
        <f>[3]总目标!B32+[3]总目标!B33+[3]总目标!B34+[3]总目标!B35+[3]总目标!B36</f>
        <v>184259.401635717</v>
      </c>
      <c r="D7" s="12">
        <f>[3]总目标!C32+[3]总目标!C33+[3]总目标!C34+[3]总目标!C35+[3]总目标!C36</f>
        <v>417840.724104876</v>
      </c>
      <c r="E7" s="12">
        <f>[3]总目标!D32+[3]总目标!D33+[3]总目标!D34+[3]总目标!D35+[3]总目标!D36</f>
        <v>251827.053698108</v>
      </c>
      <c r="F7" s="12">
        <f>[3]总目标!E32+[3]总目标!E33+[3]总目标!E34+[3]总目标!E35+[3]总目标!E36</f>
        <v>354844.77</v>
      </c>
      <c r="G7" s="12">
        <f>[3]总目标!F32+[3]总目标!F33+[3]总目标!F34+[3]总目标!F35+[3]总目标!F36</f>
        <v>311221.61</v>
      </c>
      <c r="H7" s="12">
        <f>[3]总目标!G32+[3]总目标!G33+[3]总目标!G34+[3]总目标!G35+[3]总目标!G36</f>
        <v>276053.09</v>
      </c>
      <c r="I7" s="12">
        <f>[3]总目标!H32+[3]总目标!H33+[3]总目标!H34+[3]总目标!H35+[3]总目标!H36</f>
        <v>0</v>
      </c>
      <c r="J7" s="12">
        <f>[3]总目标!I32+[3]总目标!I33+[3]总目标!I34+[3]总目标!I35+[3]总目标!I36</f>
        <v>0</v>
      </c>
      <c r="K7" s="12">
        <f>[3]总目标!J32+[3]总目标!J33+[3]总目标!J34+[3]总目标!J35+[3]总目标!J36</f>
        <v>0</v>
      </c>
      <c r="L7" s="12">
        <f>[3]总目标!K32+[3]总目标!K33+[3]总目标!K34+[3]总目标!K35+[3]总目标!K36</f>
        <v>0</v>
      </c>
      <c r="M7" s="12">
        <f>[3]总目标!L32+[3]总目标!L33+[3]总目标!L34+[3]总目标!L35+[3]总目标!L36</f>
        <v>0</v>
      </c>
      <c r="N7" s="12">
        <f>[3]总目标!M32+[3]总目标!M33+[3]总目标!M34+[3]总目标!M35+[3]总目标!M36</f>
        <v>0</v>
      </c>
      <c r="O7" s="12">
        <f t="shared" si="0"/>
        <v>1796046.6494387</v>
      </c>
    </row>
    <row r="8" ht="15.6" spans="1:15">
      <c r="A8" s="10"/>
      <c r="B8" s="1" t="s">
        <v>26</v>
      </c>
      <c r="C8" s="20">
        <f t="shared" ref="C8:O8" si="1">C7/C6</f>
        <v>0.690025986748588</v>
      </c>
      <c r="D8" s="20">
        <f t="shared" si="1"/>
        <v>0.919397564190568</v>
      </c>
      <c r="E8" s="20">
        <f t="shared" si="1"/>
        <v>0.706406087927508</v>
      </c>
      <c r="F8" s="20">
        <f t="shared" si="1"/>
        <v>0.950980830397005</v>
      </c>
      <c r="G8" s="20">
        <f t="shared" si="1"/>
        <v>0.928068137915646</v>
      </c>
      <c r="H8" s="20">
        <f t="shared" si="1"/>
        <v>0.94787856225875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0.451918086483096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[3]陈欣诺!B7</f>
        <v>13608</v>
      </c>
      <c r="D10" s="17">
        <f>[3]陈欣诺!C7</f>
        <v>18135</v>
      </c>
      <c r="E10" s="17">
        <f>[3]陈欣诺!D7</f>
        <v>17250</v>
      </c>
      <c r="F10" s="17">
        <f>[3]陈欣诺!E7</f>
        <v>18600</v>
      </c>
      <c r="G10" s="17">
        <f>[3]陈欣诺!F7</f>
        <v>16950</v>
      </c>
      <c r="H10" s="17">
        <f>[3]陈欣诺!G7</f>
        <v>26815</v>
      </c>
      <c r="I10" s="17">
        <f>[3]陈欣诺!H7</f>
        <v>30225</v>
      </c>
      <c r="J10" s="17">
        <f>[3]陈欣诺!I7</f>
        <v>26850</v>
      </c>
      <c r="K10" s="17">
        <f>[3]陈欣诺!J7</f>
        <v>26505</v>
      </c>
      <c r="L10" s="17">
        <f>[3]陈欣诺!K7</f>
        <v>25800</v>
      </c>
      <c r="M10" s="17">
        <f>[3]陈欣诺!L7</f>
        <v>26660</v>
      </c>
      <c r="N10" s="17">
        <f>[3]陈欣诺!M7</f>
        <v>19933</v>
      </c>
      <c r="O10" s="30">
        <f t="shared" si="0"/>
        <v>267331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[3]陈欣诺!B8</f>
        <v>4403.84</v>
      </c>
      <c r="D14" s="17">
        <f>[3]陈欣诺!C8</f>
        <v>5894.65</v>
      </c>
      <c r="E14" s="17">
        <f>[3]陈欣诺!D8</f>
        <v>5599.5</v>
      </c>
      <c r="F14" s="17">
        <f>[3]陈欣诺!E8</f>
        <v>6023.3</v>
      </c>
      <c r="G14" s="17">
        <f>[3]陈欣诺!F8</f>
        <v>5494.5</v>
      </c>
      <c r="H14" s="17">
        <f>[3]陈欣诺!G8</f>
        <v>7884.85</v>
      </c>
      <c r="I14" s="17">
        <f>[3]陈欣诺!H8</f>
        <v>8734.25</v>
      </c>
      <c r="J14" s="17">
        <f>[3]陈欣诺!I8</f>
        <v>7710</v>
      </c>
      <c r="K14" s="17">
        <f>[3]陈欣诺!J8</f>
        <v>7641.5</v>
      </c>
      <c r="L14" s="17">
        <f>[3]陈欣诺!K8</f>
        <v>7443</v>
      </c>
      <c r="M14" s="17">
        <f>[3]陈欣诺!L8</f>
        <v>7691.1</v>
      </c>
      <c r="N14" s="17">
        <f>[3]陈欣诺!M8</f>
        <v>5719.5</v>
      </c>
      <c r="O14" s="36">
        <f>SUM(C14:N14)</f>
        <v>80239.99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[3]陈欣诺!B4</f>
        <v>56082794</v>
      </c>
      <c r="D18" s="35">
        <f>[3]陈欣诺!C4</f>
        <v>74982800</v>
      </c>
      <c r="E18" s="35">
        <f>[3]陈欣诺!D4</f>
        <v>71130000</v>
      </c>
      <c r="F18" s="35">
        <f>[3]陈欣诺!E4</f>
        <v>76384000</v>
      </c>
      <c r="G18" s="35">
        <f>[3]陈欣诺!F4</f>
        <v>69642000</v>
      </c>
      <c r="H18" s="35">
        <f>[3]陈欣诺!G4</f>
        <v>114554300</v>
      </c>
      <c r="I18" s="35">
        <f>[3]陈欣诺!H4</f>
        <v>129936500</v>
      </c>
      <c r="J18" s="35">
        <f>[3]陈欣诺!I4</f>
        <v>116677500</v>
      </c>
      <c r="K18" s="35">
        <f>[3]陈欣诺!J4</f>
        <v>115064250</v>
      </c>
      <c r="L18" s="35">
        <f>[3]陈欣诺!K4</f>
        <v>111975000</v>
      </c>
      <c r="M18" s="35">
        <f>[3]陈欣诺!L4</f>
        <v>115707500</v>
      </c>
      <c r="N18" s="35">
        <f>[3]陈欣诺!M4</f>
        <v>86663600</v>
      </c>
      <c r="O18" s="31">
        <f>SUM(C18:N18)</f>
        <v>1138800244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[3]陈欣诺!B5/12.5</f>
        <v>1448886.656</v>
      </c>
      <c r="D22" s="21">
        <f>[3]陈欣诺!C5/12.5</f>
        <v>1951234.24</v>
      </c>
      <c r="E22" s="21">
        <f>[3]陈欣诺!D5/12.5</f>
        <v>1848696</v>
      </c>
      <c r="F22" s="21">
        <f>[3]陈欣诺!E5/12.5</f>
        <v>1980776</v>
      </c>
      <c r="G22" s="21">
        <f>[3]陈欣诺!F5/12.5</f>
        <v>1807761.6</v>
      </c>
      <c r="H22" s="21">
        <f>[3]陈欣诺!G5/12.5</f>
        <v>2668375.84</v>
      </c>
      <c r="I22" s="21">
        <f>[3]陈欣诺!H5/12.5</f>
        <v>2970469.6</v>
      </c>
      <c r="J22" s="21">
        <f>[3]陈欣诺!I5/12.5</f>
        <v>2650272</v>
      </c>
      <c r="K22" s="21">
        <f>[3]陈欣诺!J5/12.5</f>
        <v>2624683.2</v>
      </c>
      <c r="L22" s="21">
        <f>[3]陈欣诺!K5/12.5</f>
        <v>2555952</v>
      </c>
      <c r="M22" s="21">
        <f>[3]陈欣诺!L5/12.5</f>
        <v>2641150.4</v>
      </c>
      <c r="N22" s="21">
        <f>[3]陈欣诺!M5/12.5</f>
        <v>1966937.6</v>
      </c>
      <c r="O22" s="28">
        <f>SUM(C22:N22)</f>
        <v>27115195.136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Q19" sqref="Q1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6.4444444444444" customWidth="1"/>
    <col min="9" max="13" width="15.1111111111111" customWidth="1"/>
    <col min="14" max="14" width="14.1111111111111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634245.75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</v>
      </c>
      <c r="D5" s="5"/>
      <c r="E5" s="5"/>
      <c r="F5" s="6">
        <f>(F7+G7+H7)/(F6+G6+H6)</f>
        <v>0.51023455722886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[3]总目标!B59</f>
        <v>372843</v>
      </c>
      <c r="D6" s="9">
        <f>[3]总目标!C59</f>
        <v>566214.491803279</v>
      </c>
      <c r="E6" s="9">
        <f>[3]总目标!D59</f>
        <v>425981.18852459</v>
      </c>
      <c r="F6" s="9">
        <f>[3]总目标!E59</f>
        <v>428093.165983607</v>
      </c>
      <c r="G6" s="9">
        <f>[3]总目标!F59</f>
        <v>438328.647540984</v>
      </c>
      <c r="H6" s="9">
        <f>[3]总目标!G59</f>
        <v>376625.606557377</v>
      </c>
      <c r="I6" s="9">
        <f>[3]总目标!H59</f>
        <v>516638.599385246</v>
      </c>
      <c r="J6" s="9">
        <f>[3]总目标!I59</f>
        <v>499972.838114754</v>
      </c>
      <c r="K6" s="9">
        <f>[3]总目标!J59</f>
        <v>490032.5</v>
      </c>
      <c r="L6" s="9">
        <f>[3]总目标!K59</f>
        <v>474225</v>
      </c>
      <c r="M6" s="9">
        <f>[3]总目标!L59</f>
        <v>490032.5</v>
      </c>
      <c r="N6" s="9">
        <f>[3]总目标!M59</f>
        <v>318392.868852459</v>
      </c>
      <c r="O6" s="28">
        <f t="shared" ref="O6:O10" si="0">SUM(C6:N6)</f>
        <v>5397380.4067623</v>
      </c>
    </row>
    <row r="7" ht="15.6" spans="1:15">
      <c r="A7" s="10"/>
      <c r="B7" s="11" t="s">
        <v>25</v>
      </c>
      <c r="C7" s="12">
        <f>[3]总目标!B45+[3]总目标!B46+[3]总目标!B47+[3]总目标!B48+[3]总目标!B49</f>
        <v>0</v>
      </c>
      <c r="D7" s="12">
        <f>[3]总目标!C45+[3]总目标!C46+[3]总目标!C47+[3]总目标!C48+[3]总目标!C49</f>
        <v>0</v>
      </c>
      <c r="E7" s="12">
        <f>[3]总目标!D45+[3]总目标!D46+[3]总目标!D47+[3]总目标!D48+[3]总目标!D49</f>
        <v>0</v>
      </c>
      <c r="F7" s="12">
        <f>[3]总目标!E45+[3]总目标!E46+[3]总目标!E47+[3]总目标!E48+[3]总目标!E49</f>
        <v>0</v>
      </c>
      <c r="G7" s="12">
        <f>[3]总目标!F45+[3]总目标!F46+[3]总目标!F47+[3]总目标!F48+[3]总目标!F49</f>
        <v>368050.94</v>
      </c>
      <c r="H7" s="12">
        <f>[3]总目标!G45+[3]总目标!G46+[3]总目标!G47+[3]总目标!G48+[3]总目标!G49</f>
        <v>266194.81</v>
      </c>
      <c r="I7" s="12">
        <f>[3]总目标!H45+[3]总目标!H46+[3]总目标!H47+[3]总目标!H48+[3]总目标!H49</f>
        <v>0</v>
      </c>
      <c r="J7" s="12">
        <f>[3]总目标!I45+[3]总目标!I46+[3]总目标!I47+[3]总目标!I48+[3]总目标!I49</f>
        <v>0</v>
      </c>
      <c r="K7" s="12">
        <f>[3]总目标!J45+[3]总目标!J46+[3]总目标!J47+[3]总目标!J48+[3]总目标!J49</f>
        <v>0</v>
      </c>
      <c r="L7" s="12">
        <f>[3]总目标!K45+[3]总目标!K46+[3]总目标!K47+[3]总目标!K48+[3]总目标!K49</f>
        <v>0</v>
      </c>
      <c r="M7" s="12">
        <f>[3]总目标!L45+[3]总目标!L46+[3]总目标!L47+[3]总目标!L48+[3]总目标!L49</f>
        <v>0</v>
      </c>
      <c r="N7" s="12">
        <f>[3]总目标!M45+[3]总目标!M46+[3]总目标!M47+[3]总目标!M48+[3]总目标!M49</f>
        <v>0</v>
      </c>
      <c r="O7" s="12">
        <f t="shared" si="0"/>
        <v>634245.75</v>
      </c>
    </row>
    <row r="8" ht="15.6" spans="1:15">
      <c r="A8" s="10"/>
      <c r="B8" s="1" t="s">
        <v>26</v>
      </c>
      <c r="C8" s="20">
        <f t="shared" ref="C8:O8" si="1">C7/C6</f>
        <v>0</v>
      </c>
      <c r="D8" s="20">
        <f t="shared" si="1"/>
        <v>0</v>
      </c>
      <c r="E8" s="20">
        <f t="shared" si="1"/>
        <v>0</v>
      </c>
      <c r="F8" s="20">
        <f t="shared" si="1"/>
        <v>0</v>
      </c>
      <c r="G8" s="20">
        <f t="shared" si="1"/>
        <v>0.839668915241473</v>
      </c>
      <c r="H8" s="20">
        <f t="shared" si="1"/>
        <v>0.70678893140912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0.117509921888285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[3]林梓蕾!B7</f>
        <v>17722.7622461171</v>
      </c>
      <c r="D10" s="17">
        <f>[3]林梓蕾!C7</f>
        <v>22630</v>
      </c>
      <c r="E10" s="17">
        <f>[3]林梓蕾!D7</f>
        <v>22800</v>
      </c>
      <c r="F10" s="17">
        <f>[3]林梓蕾!E7</f>
        <v>23250</v>
      </c>
      <c r="G10" s="17">
        <f>[3]林梓蕾!F7</f>
        <v>24300</v>
      </c>
      <c r="H10" s="17">
        <f>[3]林梓蕾!G7</f>
        <v>22630</v>
      </c>
      <c r="I10" s="17">
        <f>[3]林梓蕾!H7</f>
        <v>28365</v>
      </c>
      <c r="J10" s="17">
        <f>[3]林梓蕾!I7</f>
        <v>27450</v>
      </c>
      <c r="K10" s="17">
        <f>[3]林梓蕾!J7</f>
        <v>27900</v>
      </c>
      <c r="L10" s="17">
        <f>[3]林梓蕾!K7</f>
        <v>27000</v>
      </c>
      <c r="M10" s="17">
        <f>[3]林梓蕾!L7</f>
        <v>27900</v>
      </c>
      <c r="N10" s="17">
        <f>[3]林梓蕾!M7</f>
        <v>20150</v>
      </c>
      <c r="O10" s="30">
        <f t="shared" si="0"/>
        <v>292097.762246117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[3]林梓蕾!B8</f>
        <v>5752.7762962963</v>
      </c>
      <c r="D14" s="17">
        <f>[3]林梓蕾!C8</f>
        <v>7074.2</v>
      </c>
      <c r="E14" s="17">
        <f>[3]林梓蕾!D8</f>
        <v>7122</v>
      </c>
      <c r="F14" s="17">
        <f>[3]林梓蕾!E8</f>
        <v>7263.3</v>
      </c>
      <c r="G14" s="17">
        <f>[3]林梓蕾!F8</f>
        <v>7599</v>
      </c>
      <c r="H14" s="17">
        <f>[3]林梓蕾!G8</f>
        <v>7077.3</v>
      </c>
      <c r="I14" s="17">
        <f>[3]林梓蕾!H8</f>
        <v>8873.75</v>
      </c>
      <c r="J14" s="17">
        <f>[3]林梓蕾!I8</f>
        <v>8587.5</v>
      </c>
      <c r="K14" s="17">
        <f>[3]林梓蕾!J8</f>
        <v>8726.5</v>
      </c>
      <c r="L14" s="17">
        <f>[3]林梓蕾!K8</f>
        <v>8445</v>
      </c>
      <c r="M14" s="17">
        <f>[3]林梓蕾!L8</f>
        <v>8726.5</v>
      </c>
      <c r="N14" s="17">
        <f>[3]林梓蕾!M8</f>
        <v>6299.2</v>
      </c>
      <c r="O14" s="36">
        <f>SUM(C14:N14)</f>
        <v>91547.0262962963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[3]林梓蕾!B4</f>
        <v>66868745</v>
      </c>
      <c r="D18" s="35">
        <f>[3]林梓蕾!C4</f>
        <v>95061500</v>
      </c>
      <c r="E18" s="35">
        <f>[3]林梓蕾!D4</f>
        <v>95460000</v>
      </c>
      <c r="F18" s="35">
        <f>[3]林梓蕾!E4</f>
        <v>97355500</v>
      </c>
      <c r="G18" s="35">
        <f>[3]林梓蕾!F4</f>
        <v>101805000</v>
      </c>
      <c r="H18" s="35">
        <f>[3]林梓蕾!G4</f>
        <v>94906500</v>
      </c>
      <c r="I18" s="35">
        <f>[3]林梓蕾!H4</f>
        <v>118861750</v>
      </c>
      <c r="J18" s="35">
        <f>[3]林梓蕾!I4</f>
        <v>115027500</v>
      </c>
      <c r="K18" s="35">
        <f>[3]林梓蕾!J4</f>
        <v>116870000</v>
      </c>
      <c r="L18" s="35">
        <f>[3]林梓蕾!K4</f>
        <v>113100000</v>
      </c>
      <c r="M18" s="35">
        <f>[3]林梓蕾!L4</f>
        <v>116870000</v>
      </c>
      <c r="N18" s="35">
        <f>[3]林梓蕾!M4</f>
        <v>84428500</v>
      </c>
      <c r="O18" s="31">
        <f>SUM(C18:N18)</f>
        <v>1216614995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[3]林梓蕾!B5/12.5</f>
        <v>1739255.392</v>
      </c>
      <c r="D22" s="21">
        <f>[3]林梓蕾!C5/12.5</f>
        <v>2378022.4</v>
      </c>
      <c r="E22" s="21">
        <f>[3]林梓蕾!D5/12.5</f>
        <v>2386200</v>
      </c>
      <c r="F22" s="21">
        <f>[3]林梓蕾!E5/12.5</f>
        <v>2433834.8</v>
      </c>
      <c r="G22" s="21">
        <f>[3]林梓蕾!F5/12.5</f>
        <v>2547732</v>
      </c>
      <c r="H22" s="21">
        <f>[3]林梓蕾!G5/12.5</f>
        <v>2375257.2</v>
      </c>
      <c r="I22" s="21">
        <f>[3]林梓蕾!H5/12.5</f>
        <v>2975820.2</v>
      </c>
      <c r="J22" s="21">
        <f>[3]林梓蕾!I5/12.5</f>
        <v>2879826</v>
      </c>
      <c r="K22" s="21">
        <f>[3]林梓蕾!J5/12.5</f>
        <v>2925346</v>
      </c>
      <c r="L22" s="21">
        <f>[3]林梓蕾!K5/12.5</f>
        <v>2830980</v>
      </c>
      <c r="M22" s="21">
        <f>[3]林梓蕾!L5/12.5</f>
        <v>2925346</v>
      </c>
      <c r="N22" s="21">
        <f>[3]林梓蕾!M5/12.5</f>
        <v>2112166.4</v>
      </c>
      <c r="O22" s="28">
        <f>SUM(C22:N22)</f>
        <v>30509786.392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7" sqref="C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2621693.39032787</v>
      </c>
      <c r="D4" s="4"/>
      <c r="E4" s="4"/>
      <c r="F4" s="3">
        <f>(F7+G7+H7)</f>
        <v>1857359.26254098</v>
      </c>
      <c r="G4" s="3"/>
      <c r="H4" s="3"/>
      <c r="I4" s="24">
        <f>(I7+J7+K7)</f>
        <v>1506643.9375</v>
      </c>
      <c r="J4" s="24"/>
      <c r="K4" s="24"/>
      <c r="L4" s="25">
        <f>(L7+M7+N7)</f>
        <v>1282650.36885246</v>
      </c>
      <c r="M4" s="25"/>
      <c r="N4" s="25"/>
      <c r="O4" s="1"/>
    </row>
    <row r="5" ht="15.6" spans="1:15">
      <c r="A5" s="13"/>
      <c r="B5" s="13" t="s">
        <v>22</v>
      </c>
      <c r="C5" s="5" t="e">
        <f>(C7+D7+E7)/(C6+D6+E6)</f>
        <v>#VALUE!</v>
      </c>
      <c r="D5" s="5"/>
      <c r="E5" s="5"/>
      <c r="F5" s="6" t="e">
        <f>(F7+G7+H7)/(F6+G6+H6)</f>
        <v>#VALUE!</v>
      </c>
      <c r="G5" s="6"/>
      <c r="H5" s="6"/>
      <c r="I5" s="26" t="e">
        <f>(I7+J7+K7)/(I6+J6+K6)</f>
        <v>#VALUE!</v>
      </c>
      <c r="J5" s="26"/>
      <c r="K5" s="26"/>
      <c r="L5" s="27" t="e">
        <f>(L7+M7+N7)/(L6+M6+N6)</f>
        <v>#VALUE!</v>
      </c>
      <c r="M5" s="27"/>
      <c r="N5" s="27"/>
      <c r="O5" s="13"/>
    </row>
    <row r="6" ht="31.2" spans="1:15">
      <c r="A6" s="7" t="s">
        <v>23</v>
      </c>
      <c r="B6" s="8" t="s">
        <v>24</v>
      </c>
      <c r="C6" s="9" t="str">
        <f>[3]总目标!B58</f>
        <v>2月</v>
      </c>
      <c r="D6" s="9" t="str">
        <f>[3]总目标!C58</f>
        <v>3月</v>
      </c>
      <c r="E6" s="9" t="str">
        <f>[3]总目标!D58</f>
        <v>4月</v>
      </c>
      <c r="F6" s="9" t="str">
        <f>[3]总目标!E58</f>
        <v>5月</v>
      </c>
      <c r="G6" s="9" t="str">
        <f>[3]总目标!F58</f>
        <v>6月</v>
      </c>
      <c r="H6" s="9" t="str">
        <f>[3]总目标!G58</f>
        <v>7月</v>
      </c>
      <c r="I6" s="9" t="str">
        <f>[3]总目标!H58</f>
        <v>8月</v>
      </c>
      <c r="J6" s="9" t="str">
        <f>[3]总目标!I58</f>
        <v>9月</v>
      </c>
      <c r="K6" s="9" t="str">
        <f>[3]总目标!J58</f>
        <v>10月</v>
      </c>
      <c r="L6" s="9" t="str">
        <f>[3]总目标!K58</f>
        <v>11月</v>
      </c>
      <c r="M6" s="9" t="str">
        <f>[3]总目标!L58</f>
        <v>12月</v>
      </c>
      <c r="N6" s="9" t="str">
        <f>[3]总目标!M58</f>
        <v>1月</v>
      </c>
      <c r="O6" s="28">
        <f>SUM(C6:N6)</f>
        <v>0</v>
      </c>
    </row>
    <row r="7" ht="15.6" spans="1:15">
      <c r="A7" s="10"/>
      <c r="B7" s="11" t="s">
        <v>25</v>
      </c>
      <c r="C7" s="12">
        <f>[3]总目标!B59+[3]总目标!B60+[3]总目标!B61+[3]总目标!B62+[3]总目标!B63</f>
        <v>653536.58</v>
      </c>
      <c r="D7" s="12">
        <f>[3]总目标!C59+[3]总目标!C60+[3]总目标!C61+[3]总目标!C62+[3]总目标!C63</f>
        <v>1146911.83180328</v>
      </c>
      <c r="E7" s="12">
        <f>[3]总目标!D59+[3]总目标!D60+[3]总目标!D61+[3]总目标!D62+[3]总目标!D63</f>
        <v>821244.97852459</v>
      </c>
      <c r="F7" s="12">
        <f>[3]总目标!E59+[3]总目标!E60+[3]总目标!E61+[3]总目标!E62+[3]总目标!E63</f>
        <v>846625.995983607</v>
      </c>
      <c r="G7" s="12">
        <v>144048.09</v>
      </c>
      <c r="H7" s="12">
        <f>[3]总目标!G59+[3]总目标!G60+[3]总目标!G61+[3]总目标!G62+[3]总目标!G63</f>
        <v>866685.176557377</v>
      </c>
      <c r="I7" s="12">
        <f>[3]总目标!H59+[3]总目标!H60+[3]总目标!H61+[3]总目标!H62+[3]总目标!H63</f>
        <v>516638.599385246</v>
      </c>
      <c r="J7" s="12">
        <f>[3]总目标!I59+[3]总目标!I60+[3]总目标!I61+[3]总目标!I62+[3]总目标!I63</f>
        <v>499972.838114754</v>
      </c>
      <c r="K7" s="12">
        <f>[3]总目标!J59+[3]总目标!J60+[3]总目标!J61+[3]总目标!J62+[3]总目标!J63</f>
        <v>490032.5</v>
      </c>
      <c r="L7" s="12">
        <f>[3]总目标!K59+[3]总目标!K60+[3]总目标!K61+[3]总目标!K62+[3]总目标!K63</f>
        <v>474225</v>
      </c>
      <c r="M7" s="12">
        <f>[3]总目标!L59+[3]总目标!L60+[3]总目标!L61+[3]总目标!L62+[3]总目标!L63</f>
        <v>490032.5</v>
      </c>
      <c r="N7" s="12">
        <f>[3]总目标!M59+[3]总目标!M60+[3]总目标!M61+[3]总目标!M62+[3]总目标!M63</f>
        <v>318392.868852459</v>
      </c>
      <c r="O7" s="12">
        <f>SUM(C7:N7)</f>
        <v>7268346.95922131</v>
      </c>
    </row>
    <row r="8" ht="15.6" spans="1:15">
      <c r="A8" s="10"/>
      <c r="B8" s="1" t="s">
        <v>26</v>
      </c>
      <c r="C8" s="20" t="e">
        <f t="shared" ref="C8:O8" si="0">C7/C6</f>
        <v>#VALUE!</v>
      </c>
      <c r="D8" s="20" t="e">
        <f t="shared" si="0"/>
        <v>#VALUE!</v>
      </c>
      <c r="E8" s="20" t="e">
        <f t="shared" si="0"/>
        <v>#VALUE!</v>
      </c>
      <c r="F8" s="20" t="e">
        <f t="shared" si="0"/>
        <v>#VALUE!</v>
      </c>
      <c r="G8" s="20" t="e">
        <f t="shared" si="0"/>
        <v>#VALUE!</v>
      </c>
      <c r="H8" s="20" t="e">
        <f t="shared" si="0"/>
        <v>#VALUE!</v>
      </c>
      <c r="I8" s="20" t="e">
        <f t="shared" si="0"/>
        <v>#VALUE!</v>
      </c>
      <c r="J8" s="20" t="e">
        <f t="shared" si="0"/>
        <v>#VALUE!</v>
      </c>
      <c r="K8" s="20" t="e">
        <f t="shared" si="0"/>
        <v>#VALUE!</v>
      </c>
      <c r="L8" s="20" t="e">
        <f t="shared" si="0"/>
        <v>#VALUE!</v>
      </c>
      <c r="M8" s="20" t="e">
        <f t="shared" si="0"/>
        <v>#VALUE!</v>
      </c>
      <c r="N8" s="20" t="e">
        <f t="shared" si="0"/>
        <v>#VALUE!</v>
      </c>
      <c r="O8" s="20" t="e">
        <f t="shared" si="0"/>
        <v>#DIV/0!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6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4"/>
      <c r="B18" s="35" t="s">
        <v>33</v>
      </c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1"/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6" sqref="C6:N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4.4444444444444" customWidth="1"/>
    <col min="9" max="13" width="14.1111111111111" customWidth="1"/>
    <col min="14" max="14" width="13.7777777777778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 t="e">
        <f>(C7+D7+E7)</f>
        <v>#VALUE!</v>
      </c>
      <c r="D4" s="4"/>
      <c r="E4" s="4"/>
      <c r="F4" s="3" t="e">
        <f>(F7+G7+H7)</f>
        <v>#VALUE!</v>
      </c>
      <c r="G4" s="3"/>
      <c r="H4" s="3"/>
      <c r="I4" s="24" t="e">
        <f>(I7+J7+K7)</f>
        <v>#VALUE!</v>
      </c>
      <c r="J4" s="24"/>
      <c r="K4" s="24"/>
      <c r="L4" s="25" t="e">
        <f>(L7+M7+N7)</f>
        <v>#VALUE!</v>
      </c>
      <c r="M4" s="25"/>
      <c r="N4" s="25"/>
      <c r="O4" s="1"/>
    </row>
    <row r="5" ht="15.6" spans="1:15">
      <c r="A5" s="13"/>
      <c r="B5" s="13" t="s">
        <v>22</v>
      </c>
      <c r="C5" s="5" t="e">
        <f>(C7+D7+E7)/(C6+D6+E6)</f>
        <v>#VALUE!</v>
      </c>
      <c r="D5" s="5"/>
      <c r="E5" s="5"/>
      <c r="F5" s="6" t="e">
        <f>(F7+G7+H7)/(F6+G6+H6)</f>
        <v>#VALUE!</v>
      </c>
      <c r="G5" s="6"/>
      <c r="H5" s="6"/>
      <c r="I5" s="26" t="e">
        <f>(I7+J7+K7)/(I6+J6+K6)</f>
        <v>#VALUE!</v>
      </c>
      <c r="J5" s="26"/>
      <c r="K5" s="26"/>
      <c r="L5" s="27" t="e">
        <f>(L7+M7+N7)/(L6+M6+N6)</f>
        <v>#VALUE!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[3]总目标!B85</f>
        <v>34481</v>
      </c>
      <c r="D6" s="9">
        <f>[3]总目标!C85</f>
        <v>86791.2971311476</v>
      </c>
      <c r="E6" s="9">
        <f>[3]总目标!D85</f>
        <v>133954.856557377</v>
      </c>
      <c r="F6" s="9">
        <f>[3]总目标!E85</f>
        <v>141243.464139344</v>
      </c>
      <c r="G6" s="9">
        <f>[3]总目标!F85</f>
        <v>195306.823770492</v>
      </c>
      <c r="H6" s="9">
        <f>[3]总目标!G85</f>
        <v>155693.126331967</v>
      </c>
      <c r="I6" s="9">
        <f>[3]总目标!H85</f>
        <v>213216.284836066</v>
      </c>
      <c r="J6" s="9">
        <f>[3]总目标!I85</f>
        <v>206338.340163934</v>
      </c>
      <c r="K6" s="9">
        <f>[3]总目标!J85</f>
        <v>195186.830942623</v>
      </c>
      <c r="L6" s="9">
        <f>[3]总目标!K85</f>
        <v>187961.834016393</v>
      </c>
      <c r="M6" s="9">
        <f>[3]总目标!L85</f>
        <v>195186.830942623</v>
      </c>
      <c r="N6" s="9">
        <f>[3]总目标!M85</f>
        <v>98770.5102459016</v>
      </c>
      <c r="O6" s="28">
        <f t="shared" ref="O6:O10" si="0">SUM(C6:N6)</f>
        <v>1844131.19907787</v>
      </c>
    </row>
    <row r="7" ht="15.6" spans="1:15">
      <c r="A7" s="10"/>
      <c r="B7" s="11" t="s">
        <v>25</v>
      </c>
      <c r="C7" s="12" t="e">
        <f>[3]总目标!B71+[3]总目标!B72+[3]总目标!B73+[3]总目标!B74+[3]总目标!B75</f>
        <v>#VALUE!</v>
      </c>
      <c r="D7" s="12" t="e">
        <f>[3]总目标!C71+[3]总目标!C72+[3]总目标!C73+[3]总目标!C74+[3]总目标!C75</f>
        <v>#VALUE!</v>
      </c>
      <c r="E7" s="12" t="e">
        <f>[3]总目标!D71+[3]总目标!D72+[3]总目标!D73+[3]总目标!D74+[3]总目标!D75</f>
        <v>#VALUE!</v>
      </c>
      <c r="F7" s="12" t="e">
        <f>[3]总目标!E71+[3]总目标!E72+[3]总目标!E73+[3]总目标!E74+[3]总目标!E75</f>
        <v>#VALUE!</v>
      </c>
      <c r="G7" s="12">
        <v>21779.88</v>
      </c>
      <c r="H7" s="12" t="e">
        <f>[3]总目标!G71+[3]总目标!G72+[3]总目标!G73+[3]总目标!G74+[3]总目标!G75</f>
        <v>#VALUE!</v>
      </c>
      <c r="I7" s="12" t="e">
        <f>[3]总目标!H71+[3]总目标!H72+[3]总目标!H73+[3]总目标!H74+[3]总目标!H75</f>
        <v>#VALUE!</v>
      </c>
      <c r="J7" s="12" t="e">
        <f>[3]总目标!I71+[3]总目标!I72+[3]总目标!I73+[3]总目标!I74+[3]总目标!I75</f>
        <v>#VALUE!</v>
      </c>
      <c r="K7" s="12" t="e">
        <f>[3]总目标!J71+[3]总目标!J72+[3]总目标!J73+[3]总目标!J74+[3]总目标!J75</f>
        <v>#VALUE!</v>
      </c>
      <c r="L7" s="12" t="e">
        <f>[3]总目标!K71+[3]总目标!K72+[3]总目标!K73+[3]总目标!K74+[3]总目标!K75</f>
        <v>#VALUE!</v>
      </c>
      <c r="M7" s="12" t="e">
        <f>[3]总目标!L71+[3]总目标!L72+[3]总目标!L73+[3]总目标!L74+[3]总目标!L75</f>
        <v>#VALUE!</v>
      </c>
      <c r="N7" s="12" t="e">
        <f>[3]总目标!M71+[3]总目标!M72+[3]总目标!M73+[3]总目标!M74+[3]总目标!M75</f>
        <v>#VALUE!</v>
      </c>
      <c r="O7" s="12" t="e">
        <f t="shared" si="0"/>
        <v>#VALUE!</v>
      </c>
    </row>
    <row r="8" ht="15.6" spans="1:15">
      <c r="A8" s="10"/>
      <c r="B8" s="1" t="s">
        <v>26</v>
      </c>
      <c r="C8" s="20" t="e">
        <f t="shared" ref="C8:O8" si="1">C7/C6</f>
        <v>#VALUE!</v>
      </c>
      <c r="D8" s="20" t="e">
        <f t="shared" si="1"/>
        <v>#VALUE!</v>
      </c>
      <c r="E8" s="20" t="e">
        <f t="shared" si="1"/>
        <v>#VALUE!</v>
      </c>
      <c r="F8" s="20" t="e">
        <f t="shared" si="1"/>
        <v>#VALUE!</v>
      </c>
      <c r="G8" s="20">
        <f t="shared" si="1"/>
        <v>0.111516226517481</v>
      </c>
      <c r="H8" s="20" t="e">
        <f t="shared" si="1"/>
        <v>#VALUE!</v>
      </c>
      <c r="I8" s="20" t="e">
        <f t="shared" si="1"/>
        <v>#VALUE!</v>
      </c>
      <c r="J8" s="20" t="e">
        <f t="shared" si="1"/>
        <v>#VALUE!</v>
      </c>
      <c r="K8" s="20" t="e">
        <f t="shared" si="1"/>
        <v>#VALUE!</v>
      </c>
      <c r="L8" s="20" t="e">
        <f t="shared" si="1"/>
        <v>#VALUE!</v>
      </c>
      <c r="M8" s="20" t="e">
        <f t="shared" si="1"/>
        <v>#VALUE!</v>
      </c>
      <c r="N8" s="20" t="e">
        <f t="shared" si="1"/>
        <v>#VALUE!</v>
      </c>
      <c r="O8" s="20" t="e">
        <f t="shared" si="1"/>
        <v>#VALUE!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[3]包家豪!B7</f>
        <v>12430</v>
      </c>
      <c r="D10" s="17">
        <f>[3]包家豪!C7</f>
        <v>8990</v>
      </c>
      <c r="E10" s="17">
        <f>[3]包家豪!D7</f>
        <v>8400</v>
      </c>
      <c r="F10" s="17">
        <f>[3]包家豪!E7</f>
        <v>8680</v>
      </c>
      <c r="G10" s="17">
        <f>[3]包家豪!F7</f>
        <v>12060</v>
      </c>
      <c r="H10" s="17">
        <f>[3]包家豪!G7</f>
        <v>10323</v>
      </c>
      <c r="I10" s="17">
        <f>[3]包家豪!H7</f>
        <v>12958</v>
      </c>
      <c r="J10" s="17">
        <f>[3]包家豪!I7</f>
        <v>12540</v>
      </c>
      <c r="K10" s="17">
        <f>[3]包家豪!J7</f>
        <v>12090</v>
      </c>
      <c r="L10" s="17">
        <f>[3]包家豪!K7</f>
        <v>11640</v>
      </c>
      <c r="M10" s="17">
        <f>[3]包家豪!L7</f>
        <v>12090</v>
      </c>
      <c r="N10" s="17">
        <f>[3]包家豪!M7</f>
        <v>6696</v>
      </c>
      <c r="O10" s="30">
        <f t="shared" si="0"/>
        <v>128897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[3]包家豪!B8</f>
        <v>3858</v>
      </c>
      <c r="D14" s="17">
        <f>[3]包家豪!C8</f>
        <v>2869.05</v>
      </c>
      <c r="E14" s="17">
        <f>[3]包家豪!D8</f>
        <v>2679</v>
      </c>
      <c r="F14" s="17">
        <f>[3]包家豪!E8</f>
        <v>2768.3</v>
      </c>
      <c r="G14" s="17">
        <f>[3]包家豪!F8</f>
        <v>3850.5</v>
      </c>
      <c r="H14" s="17">
        <f>[3]包家豪!G8</f>
        <v>3292.045</v>
      </c>
      <c r="I14" s="17">
        <f>[3]包家豪!H8</f>
        <v>4135.4</v>
      </c>
      <c r="J14" s="17">
        <f>[3]包家豪!I8</f>
        <v>4002</v>
      </c>
      <c r="K14" s="17">
        <f>[3]包家豪!J8</f>
        <v>3857.95</v>
      </c>
      <c r="L14" s="17">
        <f>[3]包家豪!K8</f>
        <v>3714</v>
      </c>
      <c r="M14" s="17">
        <f>[3]包家豪!L8</f>
        <v>3857.95</v>
      </c>
      <c r="N14" s="17">
        <f>[3]包家豪!M8</f>
        <v>2135.9</v>
      </c>
      <c r="O14" s="36">
        <f>SUM(C14:N14)</f>
        <v>41020.095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[3]包家豪!B4</f>
        <v>42401820</v>
      </c>
      <c r="D18" s="35">
        <f>[3]包家豪!C4</f>
        <v>37308500</v>
      </c>
      <c r="E18" s="35">
        <f>[3]包家豪!D4</f>
        <v>34860000</v>
      </c>
      <c r="F18" s="35">
        <f>[3]包家豪!E4</f>
        <v>36022000</v>
      </c>
      <c r="G18" s="35">
        <f>[3]包家豪!F4</f>
        <v>50049000</v>
      </c>
      <c r="H18" s="35">
        <f>[3]包家豪!G4</f>
        <v>42840450</v>
      </c>
      <c r="I18" s="35">
        <f>[3]包家豪!H4</f>
        <v>53775700</v>
      </c>
      <c r="J18" s="35">
        <f>[3]包家豪!I4</f>
        <v>52041000</v>
      </c>
      <c r="K18" s="35">
        <f>[3]包家豪!J4</f>
        <v>50173500</v>
      </c>
      <c r="L18" s="35">
        <f>[3]包家豪!K4</f>
        <v>48306000</v>
      </c>
      <c r="M18" s="35">
        <f>[3]包家豪!L4</f>
        <v>50173500</v>
      </c>
      <c r="N18" s="35">
        <f>[3]包家豪!M4</f>
        <v>27788400</v>
      </c>
      <c r="O18" s="31">
        <f>SUM(C18:N18)</f>
        <v>525739870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[3]包家豪!B5/12.5</f>
        <v>1039144.32</v>
      </c>
      <c r="D22" s="21">
        <f>[3]包家豪!C5/12.5</f>
        <v>952524.6</v>
      </c>
      <c r="E22" s="21">
        <f>[3]包家豪!D5/12.5</f>
        <v>889428</v>
      </c>
      <c r="F22" s="21">
        <f>[3]包家豪!E5/12.5</f>
        <v>919075.6</v>
      </c>
      <c r="G22" s="21">
        <f>[3]包家豪!F5/12.5</f>
        <v>1278366</v>
      </c>
      <c r="H22" s="21">
        <f>[3]包家豪!G5/12.5</f>
        <v>1092958.94</v>
      </c>
      <c r="I22" s="21">
        <f>[3]包家豪!H5/12.5</f>
        <v>1372952.8</v>
      </c>
      <c r="J22" s="21">
        <f>[3]包家豪!I5/12.5</f>
        <v>1328664</v>
      </c>
      <c r="K22" s="21">
        <f>[3]包家豪!J5/12.5</f>
        <v>1280839.4</v>
      </c>
      <c r="L22" s="21">
        <f>[3]包家豪!K5/12.5</f>
        <v>1233048</v>
      </c>
      <c r="M22" s="21">
        <f>[3]包家豪!L5/12.5</f>
        <v>1280839.4</v>
      </c>
      <c r="N22" s="21">
        <f>[3]包家豪!M5/12.5</f>
        <v>709118.8</v>
      </c>
      <c r="O22" s="28">
        <f>SUM(C22:N22)</f>
        <v>13376959.86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E36" sqref="E36"/>
    </sheetView>
  </sheetViews>
  <sheetFormatPr defaultColWidth="16.4444444444444" defaultRowHeight="14.4"/>
  <cols>
    <col min="1" max="16384" width="16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</v>
      </c>
      <c r="D5" s="5"/>
      <c r="E5" s="5"/>
      <c r="F5" s="6">
        <f>(F7+G7+H7)/(F6+G6+H6)</f>
        <v>0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[3]总目标!B97</f>
        <v>249612</v>
      </c>
      <c r="D6" s="9">
        <f>[3]总目标!C97</f>
        <v>485112.393442623</v>
      </c>
      <c r="E6" s="9">
        <f>[3]总目标!D97</f>
        <v>397534.426229508</v>
      </c>
      <c r="F6" s="9">
        <f>[3]总目标!E97</f>
        <v>391039.081967214</v>
      </c>
      <c r="G6" s="9">
        <f>[3]总目标!F97</f>
        <v>369194.754098361</v>
      </c>
      <c r="H6" s="9">
        <f>[3]总目标!G97</f>
        <v>324188.852459017</v>
      </c>
      <c r="I6" s="9">
        <f>[3]总目标!H97</f>
        <v>367365.245901639</v>
      </c>
      <c r="J6" s="9">
        <f>[3]总目标!I97</f>
        <v>355514.754098361</v>
      </c>
      <c r="K6" s="9">
        <f>[3]总目标!J97</f>
        <v>342618.098360656</v>
      </c>
      <c r="L6" s="9">
        <f>[3]总目标!K97</f>
        <v>336998.360655738</v>
      </c>
      <c r="M6" s="9">
        <f>[3]总目标!L97</f>
        <v>344526.885245901</v>
      </c>
      <c r="N6" s="9">
        <f>[3]总目标!M97</f>
        <v>252862.426229508</v>
      </c>
      <c r="O6" s="28">
        <f t="shared" ref="O6:O10" si="0">SUM(C6:N6)</f>
        <v>4216567.27868853</v>
      </c>
    </row>
    <row r="7" ht="15.6" spans="1:15">
      <c r="A7" s="10"/>
      <c r="B7" s="11" t="s">
        <v>25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>
        <f t="shared" si="0"/>
        <v>0</v>
      </c>
    </row>
    <row r="8" ht="15.6" spans="1:15">
      <c r="A8" s="10"/>
      <c r="B8" s="1" t="s">
        <v>26</v>
      </c>
      <c r="C8" s="20">
        <f t="shared" ref="C8:O8" si="1">C7/C6</f>
        <v>0</v>
      </c>
      <c r="D8" s="20">
        <f t="shared" si="1"/>
        <v>0</v>
      </c>
      <c r="E8" s="20">
        <f t="shared" si="1"/>
        <v>0</v>
      </c>
      <c r="F8" s="20">
        <f t="shared" si="1"/>
        <v>0</v>
      </c>
      <c r="G8" s="20">
        <f t="shared" si="1"/>
        <v>0</v>
      </c>
      <c r="H8" s="20">
        <f t="shared" si="1"/>
        <v>0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[3]杨皓!B7</f>
        <v>15652</v>
      </c>
      <c r="D10" s="17">
        <f>[3]杨皓!C7</f>
        <v>25575</v>
      </c>
      <c r="E10" s="17">
        <f>[3]杨皓!D7</f>
        <v>22800</v>
      </c>
      <c r="F10" s="17">
        <f>[3]杨皓!E7</f>
        <v>23560</v>
      </c>
      <c r="G10" s="17">
        <f>[3]杨皓!F7</f>
        <v>22350</v>
      </c>
      <c r="H10" s="17">
        <f>[3]杨皓!G7</f>
        <v>21390</v>
      </c>
      <c r="I10" s="17">
        <f>[3]杨皓!H7</f>
        <v>19840</v>
      </c>
      <c r="J10" s="17">
        <f>[3]杨皓!I7</f>
        <v>19200</v>
      </c>
      <c r="K10" s="17">
        <f>[3]杨皓!J7</f>
        <v>19065</v>
      </c>
      <c r="L10" s="17">
        <f>[3]杨皓!K7</f>
        <v>18750</v>
      </c>
      <c r="M10" s="17">
        <f>[3]杨皓!L7</f>
        <v>19375</v>
      </c>
      <c r="N10" s="17">
        <f>[3]杨皓!M7</f>
        <v>15810</v>
      </c>
      <c r="O10" s="30">
        <f t="shared" si="0"/>
        <v>243367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[3]杨皓!B8</f>
        <v>4931</v>
      </c>
      <c r="D14" s="17">
        <f>[3]杨皓!C8</f>
        <v>8069.3</v>
      </c>
      <c r="E14" s="17">
        <f>[3]杨皓!D8</f>
        <v>7200</v>
      </c>
      <c r="F14" s="17">
        <f>[3]杨皓!E8</f>
        <v>7446.2</v>
      </c>
      <c r="G14" s="17">
        <f>[3]杨皓!F8</f>
        <v>7068</v>
      </c>
      <c r="H14" s="17">
        <f>[3]杨皓!G8</f>
        <v>6770.4</v>
      </c>
      <c r="I14" s="17">
        <f>[3]杨皓!H8</f>
        <v>6348.8</v>
      </c>
      <c r="J14" s="17">
        <f>[3]杨皓!I8</f>
        <v>6144</v>
      </c>
      <c r="K14" s="17">
        <f>[3]杨皓!J8</f>
        <v>6100.8</v>
      </c>
      <c r="L14" s="17">
        <f>[3]杨皓!K8</f>
        <v>6000</v>
      </c>
      <c r="M14" s="17">
        <f>[3]杨皓!L8</f>
        <v>6200</v>
      </c>
      <c r="N14" s="17">
        <f>[3]杨皓!M8</f>
        <v>5059.2</v>
      </c>
      <c r="O14" s="36">
        <f>SUM(C14:N14)</f>
        <v>77337.7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[3]杨皓!B4</f>
        <v>60945529</v>
      </c>
      <c r="D18" s="35">
        <f>[3]杨皓!C4</f>
        <v>105245000</v>
      </c>
      <c r="E18" s="35">
        <f>[3]杨皓!D4</f>
        <v>93900000</v>
      </c>
      <c r="F18" s="35">
        <f>[3]杨皓!E4</f>
        <v>97045500</v>
      </c>
      <c r="G18" s="35">
        <f>[3]杨皓!F4</f>
        <v>92040000</v>
      </c>
      <c r="H18" s="35">
        <f>[3]杨皓!G4</f>
        <v>88164000</v>
      </c>
      <c r="I18" s="35">
        <f>[3]杨皓!H4</f>
        <v>82258500</v>
      </c>
      <c r="J18" s="35">
        <f>[3]杨皓!I4</f>
        <v>79605000</v>
      </c>
      <c r="K18" s="35">
        <f>[3]杨皓!J4</f>
        <v>79050000</v>
      </c>
      <c r="L18" s="35">
        <f>[3]杨皓!K4</f>
        <v>77737500</v>
      </c>
      <c r="M18" s="35">
        <f>[3]杨皓!L4</f>
        <v>80328750</v>
      </c>
      <c r="N18" s="35">
        <f>[3]杨皓!M4</f>
        <v>65541750</v>
      </c>
      <c r="O18" s="31">
        <f>SUM(C18:N18)</f>
        <v>1001861529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[3]杨皓!B5/12.5</f>
        <v>1540624.32</v>
      </c>
      <c r="D22" s="21">
        <f>[3]杨皓!C5/12.5</f>
        <v>2657568</v>
      </c>
      <c r="E22" s="21">
        <f>[3]杨皓!D5/12.5</f>
        <v>2373120</v>
      </c>
      <c r="F22" s="21">
        <f>[3]杨皓!E5/12.5</f>
        <v>2454604.8</v>
      </c>
      <c r="G22" s="21">
        <f>[3]杨皓!F5/12.5</f>
        <v>2329344</v>
      </c>
      <c r="H22" s="21">
        <f>[3]杨皓!G5/12.5</f>
        <v>2233190.4</v>
      </c>
      <c r="I22" s="21">
        <f>[3]杨皓!H5/12.5</f>
        <v>2105817.6</v>
      </c>
      <c r="J22" s="21">
        <f>[3]杨皓!I5/12.5</f>
        <v>2037888</v>
      </c>
      <c r="K22" s="21">
        <f>[3]杨皓!J5/12.5</f>
        <v>2023680</v>
      </c>
      <c r="L22" s="21">
        <f>[3]杨皓!K5/12.5</f>
        <v>1990080</v>
      </c>
      <c r="M22" s="21">
        <f>[3]杨皓!L5/12.5</f>
        <v>2056416</v>
      </c>
      <c r="N22" s="21">
        <f>[3]杨皓!M5/12.5</f>
        <v>1677868.8</v>
      </c>
      <c r="O22" s="28">
        <f>SUM(C22:N22)</f>
        <v>25480201.92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$A1:$XFD104857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14" width="15.5555555555556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1522274.67</v>
      </c>
      <c r="D4" s="4"/>
      <c r="E4" s="4"/>
      <c r="F4" s="3">
        <f>(F7+G7+H7)</f>
        <v>1003976.28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1.45175061342056</v>
      </c>
      <c r="D5" s="5"/>
      <c r="E5" s="5"/>
      <c r="F5" s="6">
        <f>(F7+G7+H7)/(F6+G6+H6)</f>
        <v>0.96637899787671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'[2]2026目标拆解--郑志远'!B4</f>
        <v>329446.831260062</v>
      </c>
      <c r="D6" s="9">
        <f>'[2]2026目标拆解--郑志远'!C4</f>
        <v>370713.476418571</v>
      </c>
      <c r="E6" s="9">
        <f>'[2]2026目标拆解--郑志远'!D4</f>
        <v>348418.322788257</v>
      </c>
      <c r="F6" s="9">
        <f>'[2]2026目标拆解--郑志远'!E4</f>
        <v>325684.300298979</v>
      </c>
      <c r="G6" s="9">
        <f>'[2]2026目标拆解--郑志远'!F4</f>
        <v>340082.4</v>
      </c>
      <c r="H6" s="9">
        <f>'[2]2026目标拆解--郑志远'!G4</f>
        <v>373138.6176</v>
      </c>
      <c r="I6" s="9">
        <f>'[2]2026目标拆解--郑志远'!H4</f>
        <v>530830.2608</v>
      </c>
      <c r="J6" s="9">
        <f>'[2]2026目标拆解--郑志远'!I4</f>
        <v>611940</v>
      </c>
      <c r="K6" s="9">
        <f>'[2]2026目标拆解--郑志远'!J4</f>
        <v>655478.88</v>
      </c>
      <c r="L6" s="9">
        <f>'[2]2026目标拆解--郑志远'!K4</f>
        <v>680164.8</v>
      </c>
      <c r="M6" s="9">
        <f>'[2]2026目标拆解--郑志远'!L4</f>
        <v>656555.2</v>
      </c>
      <c r="N6" s="9">
        <f>'[2]2026目标拆解--郑志远'!M4</f>
        <v>468199.2</v>
      </c>
      <c r="O6" s="28">
        <f t="shared" ref="O6:O11" si="0">SUM(C6:N6)</f>
        <v>5690652.28916587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'[2]2026年月度数据汇总--俄罗斯'!C3+'[2]2026年月度数据汇总--俄罗斯'!C8</f>
        <v>489434.07</v>
      </c>
      <c r="D7" s="12">
        <f>'[2]2026年月度数据汇总--俄罗斯'!D3+'[2]2026年月度数据汇总--俄罗斯'!D8</f>
        <v>551189.05</v>
      </c>
      <c r="E7" s="12">
        <f>'[2]2026年月度数据汇总--俄罗斯'!E3+'[2]2026年月度数据汇总--俄罗斯'!E8</f>
        <v>481651.55</v>
      </c>
      <c r="F7" s="12">
        <f>'[2]2026年月度数据汇总--俄罗斯'!F3+'[2]2026年月度数据汇总--俄罗斯'!F8</f>
        <v>513764.61</v>
      </c>
      <c r="G7" s="12">
        <f>'[2]2026年月度数据汇总--俄罗斯'!G3+'[2]2026年月度数据汇总--俄罗斯'!G8</f>
        <v>309493.06</v>
      </c>
      <c r="H7" s="12">
        <f>'[2]2026年月度数据汇总--俄罗斯'!H3+'[2]2026年月度数据汇总--俄罗斯'!H8</f>
        <v>180718.61</v>
      </c>
      <c r="I7" s="12">
        <f>'[2]2026年月度数据汇总--俄罗斯'!I3+'[2]2026年月度数据汇总--俄罗斯'!I8</f>
        <v>0</v>
      </c>
      <c r="J7" s="12">
        <f>'[2]2026年月度数据汇总--俄罗斯'!J3+'[2]2026年月度数据汇总--俄罗斯'!J8</f>
        <v>0</v>
      </c>
      <c r="K7" s="12">
        <f>'[2]2026年月度数据汇总--俄罗斯'!K3+'[2]2026年月度数据汇总--俄罗斯'!K8</f>
        <v>0</v>
      </c>
      <c r="L7" s="12">
        <f>'[2]2026年月度数据汇总--俄罗斯'!L3+'[2]2026年月度数据汇总--俄罗斯'!L8</f>
        <v>0</v>
      </c>
      <c r="M7" s="12">
        <f>'[2]2026年月度数据汇总--俄罗斯'!M3+'[2]2026年月度数据汇总--俄罗斯'!M8</f>
        <v>0</v>
      </c>
      <c r="N7" s="12">
        <f>'[2]2026年月度数据汇总--俄罗斯'!N3+'[2]2026年月度数据汇总--俄罗斯'!N8</f>
        <v>0</v>
      </c>
      <c r="O7" s="12">
        <f t="shared" si="0"/>
        <v>2526250.95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0.443929943639255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'[2]2026目标拆解--郑志远'!B5</f>
        <v>21252</v>
      </c>
      <c r="D10" s="1">
        <f>'[2]2026目标拆解--郑志远'!C5</f>
        <v>23560</v>
      </c>
      <c r="E10" s="1">
        <f>'[2]2026目标拆解--郑志远'!D5</f>
        <v>22500</v>
      </c>
      <c r="F10" s="1">
        <f>'[2]2026目标拆解--郑志远'!E5</f>
        <v>21700</v>
      </c>
      <c r="G10" s="1">
        <f>'[2]2026目标拆解--郑志远'!F5</f>
        <v>22500</v>
      </c>
      <c r="H10" s="1">
        <f>'[2]2026目标拆解--郑志远'!G5</f>
        <v>24707</v>
      </c>
      <c r="I10" s="1">
        <f>'[2]2026目标拆解--郑志远'!H5</f>
        <v>35123</v>
      </c>
      <c r="J10" s="1">
        <f>'[2]2026目标拆解--郑志远'!I5</f>
        <v>40500</v>
      </c>
      <c r="K10" s="1">
        <f>'[2]2026目标拆解--郑志远'!J5</f>
        <v>43400</v>
      </c>
      <c r="L10" s="1">
        <f>'[2]2026目标拆解--郑志远'!K5</f>
        <v>45000</v>
      </c>
      <c r="M10" s="1">
        <f>'[2]2026目标拆解--郑志远'!L5</f>
        <v>43400</v>
      </c>
      <c r="N10" s="1">
        <f>'[2]2026目标拆解--郑志远'!M5</f>
        <v>31000</v>
      </c>
      <c r="O10" s="30">
        <f t="shared" si="0"/>
        <v>374642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'[2]2026年月度数据汇总--俄罗斯'!C4+'[2]2026年月度数据汇总--俄罗斯'!C9</f>
        <v>21486</v>
      </c>
      <c r="D11" s="11">
        <f>'[2]2026年月度数据汇总--俄罗斯'!D4+'[2]2026年月度数据汇总--俄罗斯'!D9</f>
        <v>23736</v>
      </c>
      <c r="E11" s="11">
        <f>'[2]2026年月度数据汇总--俄罗斯'!E4+'[2]2026年月度数据汇总--俄罗斯'!E9</f>
        <v>24134</v>
      </c>
      <c r="F11" s="11">
        <f>'[2]2026年月度数据汇总--俄罗斯'!F4+'[2]2026年月度数据汇总--俄罗斯'!F9</f>
        <v>24153</v>
      </c>
      <c r="G11" s="11">
        <f>'[2]2026年月度数据汇总--俄罗斯'!G4+'[2]2026年月度数据汇总--俄罗斯'!G9</f>
        <v>16870</v>
      </c>
      <c r="H11" s="11">
        <f>'[2]2026年月度数据汇总--俄罗斯'!H4+'[2]2026年月度数据汇总--俄罗斯'!H9</f>
        <v>9793</v>
      </c>
      <c r="I11" s="11">
        <f>'[2]2026年月度数据汇总--俄罗斯'!I4+'[2]2026年月度数据汇总--俄罗斯'!I9</f>
        <v>0</v>
      </c>
      <c r="J11" s="11">
        <f>'[2]2026年月度数据汇总--俄罗斯'!J4+'[2]2026年月度数据汇总--俄罗斯'!J9</f>
        <v>0</v>
      </c>
      <c r="K11" s="11">
        <f>'[2]2026年月度数据汇总--俄罗斯'!K4+'[2]2026年月度数据汇总--俄罗斯'!K9</f>
        <v>0</v>
      </c>
      <c r="L11" s="11">
        <f>'[2]2026年月度数据汇总--俄罗斯'!L4+'[2]2026年月度数据汇总--俄罗斯'!L9</f>
        <v>0</v>
      </c>
      <c r="M11" s="11">
        <f>'[2]2026年月度数据汇总--俄罗斯'!M4+'[2]2026年月度数据汇总--俄罗斯'!M9</f>
        <v>0</v>
      </c>
      <c r="N11" s="11">
        <f>'[2]2026年月度数据汇总--俄罗斯'!N4+'[2]2026年月度数据汇总--俄罗斯'!N9</f>
        <v>0</v>
      </c>
      <c r="O11" s="11">
        <f t="shared" si="0"/>
        <v>120172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0.320764890215192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'[2]2026目标拆解--郑志远'!B6</f>
        <v>6588.12</v>
      </c>
      <c r="D14" s="17">
        <f>'[2]2026目标拆解--郑志远'!C6</f>
        <v>7303.6</v>
      </c>
      <c r="E14" s="17">
        <f>'[2]2026目标拆解--郑志远'!D6</f>
        <v>6975</v>
      </c>
      <c r="F14" s="17">
        <f>'[2]2026目标拆解--郑志远'!E6</f>
        <v>6727</v>
      </c>
      <c r="G14" s="17">
        <f>'[2]2026目标拆解--郑志远'!F6</f>
        <v>6975</v>
      </c>
      <c r="H14" s="17">
        <f>'[2]2026目标拆解--郑志远'!G6</f>
        <v>7659.17</v>
      </c>
      <c r="I14" s="17">
        <f>'[2]2026目标拆解--郑志远'!H6</f>
        <v>10888.13</v>
      </c>
      <c r="J14" s="17">
        <f>'[2]2026目标拆解--郑志远'!I6</f>
        <v>12555</v>
      </c>
      <c r="K14" s="17">
        <f>'[2]2026目标拆解--郑志远'!J6</f>
        <v>13454</v>
      </c>
      <c r="L14" s="17">
        <f>'[2]2026目标拆解--郑志远'!K6</f>
        <v>13950</v>
      </c>
      <c r="M14" s="17">
        <f>'[2]2026目标拆解--郑志远'!L6</f>
        <v>13454</v>
      </c>
      <c r="N14" s="17">
        <f>'[2]2026目标拆解--郑志远'!M6</f>
        <v>9610</v>
      </c>
      <c r="O14" s="30">
        <f>SUM(C14:N14)</f>
        <v>116139.02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'[2]2026年月度数据汇总--俄罗斯'!C5+'[2]2026年月度数据汇总--俄罗斯'!C10</f>
        <v>7401</v>
      </c>
      <c r="D15" s="11">
        <f>'[2]2026年月度数据汇总--俄罗斯'!D5+'[2]2026年月度数据汇总--俄罗斯'!D10</f>
        <v>8532</v>
      </c>
      <c r="E15" s="11">
        <f>'[2]2026年月度数据汇总--俄罗斯'!E5+'[2]2026年月度数据汇总--俄罗斯'!E10</f>
        <v>9022</v>
      </c>
      <c r="F15" s="11">
        <f>'[2]2026年月度数据汇总--俄罗斯'!F5+'[2]2026年月度数据汇总--俄罗斯'!F10</f>
        <v>8871</v>
      </c>
      <c r="G15" s="11">
        <f>'[2]2026年月度数据汇总--俄罗斯'!G5+'[2]2026年月度数据汇总--俄罗斯'!G10</f>
        <v>5518</v>
      </c>
      <c r="H15" s="11">
        <f>'[2]2026年月度数据汇总--俄罗斯'!H5+'[2]2026年月度数据汇总--俄罗斯'!H10</f>
        <v>3251</v>
      </c>
      <c r="I15" s="11">
        <f>'[2]2026年月度数据汇总--俄罗斯'!I5+'[2]2026年月度数据汇总--俄罗斯'!I10</f>
        <v>0</v>
      </c>
      <c r="J15" s="11">
        <f>'[2]2026年月度数据汇总--俄罗斯'!J5+'[2]2026年月度数据汇总--俄罗斯'!J10</f>
        <v>0</v>
      </c>
      <c r="K15" s="11">
        <f>'[2]2026年月度数据汇总--俄罗斯'!K5+'[2]2026年月度数据汇总--俄罗斯'!K10</f>
        <v>0</v>
      </c>
      <c r="L15" s="11">
        <f>'[2]2026年月度数据汇总--俄罗斯'!L5+'[2]2026年月度数据汇总--俄罗斯'!L10</f>
        <v>0</v>
      </c>
      <c r="M15" s="11">
        <f>'[2]2026年月度数据汇总--俄罗斯'!M5+'[2]2026年月度数据汇总--俄罗斯'!M10</f>
        <v>0</v>
      </c>
      <c r="N15" s="11">
        <f>'[2]2026年月度数据汇总--俄罗斯'!N5+'[2]2026年月度数据汇总--俄罗斯'!N10</f>
        <v>0</v>
      </c>
      <c r="O15" s="11">
        <f>SUM(C15:N15)</f>
        <v>42595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0.366758734489063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'[2]2026目标拆解--郑志远'!B8</f>
        <v>92836800</v>
      </c>
      <c r="D18" s="18">
        <f>'[2]2026目标拆解--郑志远'!C8</f>
        <v>103044000</v>
      </c>
      <c r="E18" s="18">
        <f>'[2]2026目标拆解--郑志远'!D8</f>
        <v>98280000</v>
      </c>
      <c r="F18" s="18">
        <f>'[2]2026目标拆解--郑志远'!E8</f>
        <v>94550000</v>
      </c>
      <c r="G18" s="18">
        <f>'[2]2026目标拆解--郑志远'!F8</f>
        <v>97950000</v>
      </c>
      <c r="H18" s="18">
        <f>'[2]2026目标拆解--郑志远'!G8</f>
        <v>107470800</v>
      </c>
      <c r="I18" s="18">
        <f>'[2]2026目标拆解--郑志远'!H8</f>
        <v>152888900</v>
      </c>
      <c r="J18" s="18">
        <f>'[2]2026目标拆解--郑志远'!I8</f>
        <v>176250000</v>
      </c>
      <c r="K18" s="18">
        <f>'[2]2026目标拆解--郑志远'!J8</f>
        <v>188790000</v>
      </c>
      <c r="L18" s="18">
        <f>'[2]2026目标拆解--郑志远'!K8</f>
        <v>195900000</v>
      </c>
      <c r="M18" s="18">
        <f>'[2]2026目标拆解--郑志远'!L8</f>
        <v>189100000</v>
      </c>
      <c r="N18" s="18">
        <f>'[2]2026目标拆解--郑志远'!M8</f>
        <v>134850000</v>
      </c>
      <c r="O18" s="31">
        <f>SUM(C18:N18)</f>
        <v>1631910500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'[2]2026年月度数据汇总--俄罗斯'!C6+'[2]2026年月度数据汇总--俄罗斯'!C11</f>
        <v>7826290.5105</v>
      </c>
      <c r="D19" s="19">
        <f>'[2]2026年月度数据汇总--俄罗斯'!D6+'[2]2026年月度数据汇总--俄罗斯'!D11</f>
        <v>9982049.6254</v>
      </c>
      <c r="E19" s="19">
        <f>'[2]2026年月度数据汇总--俄罗斯'!E6+'[2]2026年月度数据汇总--俄罗斯'!E11</f>
        <v>9044293.6416</v>
      </c>
      <c r="F19" s="19">
        <f>'[2]2026年月度数据汇总--俄罗斯'!F6+'[2]2026年月度数据汇总--俄罗斯'!F11</f>
        <v>9763570.9616</v>
      </c>
      <c r="G19" s="19">
        <f>'[2]2026年月度数据汇总--俄罗斯'!G6+'[2]2026年月度数据汇总--俄罗斯'!G11</f>
        <v>7393824.3744</v>
      </c>
      <c r="H19" s="19">
        <f>'[2]2026年月度数据汇总--俄罗斯'!H6+'[2]2026年月度数据汇总--俄罗斯'!H11</f>
        <v>4145841.474</v>
      </c>
      <c r="I19" s="19">
        <f>'[2]2026年月度数据汇总--俄罗斯'!I6+'[2]2026年月度数据汇总--俄罗斯'!I11</f>
        <v>0</v>
      </c>
      <c r="J19" s="19">
        <f>'[2]2026年月度数据汇总--俄罗斯'!J6+'[2]2026年月度数据汇总--俄罗斯'!J11</f>
        <v>0</v>
      </c>
      <c r="K19" s="19">
        <f>'[2]2026年月度数据汇总--俄罗斯'!K6+'[2]2026年月度数据汇总--俄罗斯'!K11</f>
        <v>0</v>
      </c>
      <c r="L19" s="19">
        <f>'[2]2026年月度数据汇总--俄罗斯'!L6+'[2]2026年月度数据汇总--俄罗斯'!L11</f>
        <v>0</v>
      </c>
      <c r="M19" s="19">
        <f>'[2]2026年月度数据汇总--俄罗斯'!M6+'[2]2026年月度数据汇总--俄罗斯'!M11</f>
        <v>0</v>
      </c>
      <c r="N19" s="19">
        <f>'[2]2026年月度数据汇总--俄罗斯'!N6+'[2]2026年月度数据汇总--俄罗斯'!N11</f>
        <v>0</v>
      </c>
      <c r="O19" s="19">
        <f>SUM(C19:N19)</f>
        <v>48155870.5875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0.476369032961964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0.0295088919321862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>
        <f>SUM(C22:N22)</f>
        <v>0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 t="e">
        <f>O23/O22</f>
        <v>#DIV/0!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1">1-C23/C19</f>
        <v>1</v>
      </c>
      <c r="D26" s="13">
        <f t="shared" si="1"/>
        <v>1</v>
      </c>
      <c r="E26" s="13">
        <f t="shared" si="1"/>
        <v>1</v>
      </c>
      <c r="F26" s="13">
        <f t="shared" si="1"/>
        <v>1</v>
      </c>
      <c r="G26" s="13">
        <f t="shared" si="1"/>
        <v>1</v>
      </c>
      <c r="H26" s="13">
        <f t="shared" si="1"/>
        <v>1</v>
      </c>
      <c r="I26" s="13" t="e">
        <f t="shared" si="1"/>
        <v>#DIV/0!</v>
      </c>
      <c r="J26" s="13" t="e">
        <f t="shared" si="1"/>
        <v>#DIV/0!</v>
      </c>
      <c r="K26" s="13" t="e">
        <f t="shared" si="1"/>
        <v>#DIV/0!</v>
      </c>
      <c r="L26" s="13" t="e">
        <f t="shared" si="1"/>
        <v>#DIV/0!</v>
      </c>
      <c r="M26" s="13" t="e">
        <f t="shared" si="1"/>
        <v>#DIV/0!</v>
      </c>
      <c r="N26" s="13" t="e">
        <f t="shared" si="1"/>
        <v>#DIV/0!</v>
      </c>
      <c r="O26" s="13">
        <f t="shared" si="1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2">1-C15/C11</f>
        <v>0.65554314437308</v>
      </c>
      <c r="D27" s="13">
        <f t="shared" si="2"/>
        <v>0.640546006066734</v>
      </c>
      <c r="E27" s="13">
        <f t="shared" si="2"/>
        <v>0.626170547774923</v>
      </c>
      <c r="F27" s="13">
        <f t="shared" si="2"/>
        <v>0.632716432741274</v>
      </c>
      <c r="G27" s="13">
        <f t="shared" si="2"/>
        <v>0.672910491997629</v>
      </c>
      <c r="H27" s="13">
        <f t="shared" si="2"/>
        <v>0.668028183396304</v>
      </c>
      <c r="I27" s="13" t="e">
        <f t="shared" si="2"/>
        <v>#DIV/0!</v>
      </c>
      <c r="J27" s="13" t="e">
        <f t="shared" si="2"/>
        <v>#DIV/0!</v>
      </c>
      <c r="K27" s="13" t="e">
        <f t="shared" si="2"/>
        <v>#DIV/0!</v>
      </c>
      <c r="L27" s="13" t="e">
        <f t="shared" si="2"/>
        <v>#DIV/0!</v>
      </c>
      <c r="M27" s="13" t="e">
        <f t="shared" si="2"/>
        <v>#DIV/0!</v>
      </c>
      <c r="N27" s="13" t="e">
        <f t="shared" si="2"/>
        <v>#DIV/0!</v>
      </c>
      <c r="O27" s="13">
        <f t="shared" si="2"/>
        <v>0.645549712079353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3">C7/(C23)</f>
        <v>#DIV/0!</v>
      </c>
      <c r="D28" s="13" t="e">
        <f t="shared" si="3"/>
        <v>#DIV/0!</v>
      </c>
      <c r="E28" s="13" t="e">
        <f t="shared" si="3"/>
        <v>#DIV/0!</v>
      </c>
      <c r="F28" s="13" t="e">
        <f t="shared" si="3"/>
        <v>#DIV/0!</v>
      </c>
      <c r="G28" s="13" t="e">
        <f t="shared" si="3"/>
        <v>#DIV/0!</v>
      </c>
      <c r="H28" s="13" t="e">
        <f t="shared" si="3"/>
        <v>#DIV/0!</v>
      </c>
      <c r="I28" s="13" t="e">
        <f t="shared" si="3"/>
        <v>#DIV/0!</v>
      </c>
      <c r="J28" s="13" t="e">
        <f t="shared" si="3"/>
        <v>#DIV/0!</v>
      </c>
      <c r="K28" s="13" t="e">
        <f t="shared" si="3"/>
        <v>#DIV/0!</v>
      </c>
      <c r="L28" s="13" t="e">
        <f t="shared" si="3"/>
        <v>#DIV/0!</v>
      </c>
      <c r="M28" s="13" t="e">
        <f t="shared" si="3"/>
        <v>#DIV/0!</v>
      </c>
      <c r="N28" s="13" t="e">
        <f t="shared" si="3"/>
        <v>#DIV/0!</v>
      </c>
      <c r="O28" s="13" t="e">
        <f t="shared" si="3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37" operator="greaterThan">
      <formula>0</formula>
    </cfRule>
  </conditionalFormatting>
  <conditionalFormatting sqref="C7:N7">
    <cfRule type="cellIs" dxfId="1" priority="31" operator="greaterThan">
      <formula>0</formula>
    </cfRule>
    <cfRule type="cellIs" dxfId="2" priority="30" operator="lessThan">
      <formula>0</formula>
    </cfRule>
  </conditionalFormatting>
  <conditionalFormatting sqref="O7">
    <cfRule type="cellIs" dxfId="0" priority="21" operator="greaterThan">
      <formula>0</formula>
    </cfRule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C8:N8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{cde86fa1-159c-4f03-8e1a-6d876c3c85f6}</x14:id>
        </ext>
      </extLst>
    </cfRule>
  </conditionalFormatting>
  <conditionalFormatting sqref="O8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{9dfc139c-9a0e-4699-9712-f5c541e7a679}</x14:id>
        </ext>
      </extLst>
    </cfRule>
  </conditionalFormatting>
  <conditionalFormatting sqref="C12:N12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{40988baa-ef10-4184-8dc0-a79b419fd26c}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{589abc33-40db-47a9-925e-6b290718afbb}</x14:id>
        </ext>
      </extLst>
    </cfRule>
  </conditionalFormatting>
  <conditionalFormatting sqref="C16:N16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{00e2b72e-ba39-462b-9cad-45299ead12da}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{325d8e3e-5d02-4469-8646-84309071d266}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{b048b597-4661-45f6-b155-aa34f7092ccf}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{9e071a33-8785-49fa-9546-18fdd230ec1d}</x14:id>
        </ext>
      </extLst>
    </cfRule>
  </conditionalFormatting>
  <conditionalFormatting sqref="C24:N24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{85051f7f-ffe2-4e0d-809b-d9a28e04f24b}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{138d7ac8-eaf5-4788-bd0c-3ef3ac1277b1}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{5108c85e-836c-4c7e-9698-72934ea23f58}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33" operator="greaterThan">
      <formula>0</formula>
    </cfRule>
    <cfRule type="cellIs" dxfId="2" priority="32" operator="lessThan">
      <formula>0</formula>
    </cfRule>
  </conditionalFormatting>
  <conditionalFormatting sqref="B26:B27">
    <cfRule type="cellIs" dxfId="2" priority="35" operator="greaterThan">
      <formula>0.68</formula>
    </cfRule>
    <cfRule type="cellIs" dxfId="1" priority="3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{05b5708c-e55f-448d-9fe0-0afe6eeae5c4}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e86fa1-159c-4f03-8e1a-6d876c3c85f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9dfc139c-9a0e-4699-9712-f5c541e7a67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40988baa-ef10-4184-8dc0-a79b419fd26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589abc33-40db-47a9-925e-6b290718afb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00e2b72e-ba39-462b-9cad-45299ead12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325d8e3e-5d02-4469-8646-84309071d26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b048b597-4661-45f6-b155-aa34f7092cc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9e071a33-8785-49fa-9546-18fdd230ec1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85051f7f-ffe2-4e0d-809b-d9a28e04f24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138d7ac8-eaf5-4788-bd0c-3ef3ac1277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5108c85e-836c-4c7e-9698-72934ea23f5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05b5708c-e55f-448d-9fe0-0afe6eeae5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5.5555555555556" customWidth="1"/>
    <col min="9" max="14" width="15.1111111111111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289783.8</v>
      </c>
      <c r="D4" s="4"/>
      <c r="E4" s="4"/>
      <c r="F4" s="3">
        <f>(F7+G7+H7)</f>
        <v>621223.21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0.870900599790136</v>
      </c>
      <c r="D5" s="5"/>
      <c r="E5" s="5"/>
      <c r="F5" s="6">
        <f>(F7+G7+H7)/(F6+G6+H6)</f>
        <v>1.08038464388486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'[2]2026目标拆解--何欢洁'!B4</f>
        <v>116176.256</v>
      </c>
      <c r="D6" s="9">
        <f>'[2]2026目标拆解--何欢洁'!C4</f>
        <v>115071.008</v>
      </c>
      <c r="E6" s="9">
        <f>'[2]2026目标拆解--何欢洁'!D4</f>
        <v>101493.12</v>
      </c>
      <c r="F6" s="9">
        <f>'[2]2026目标拆解--何欢洁'!E4</f>
        <v>138328.448</v>
      </c>
      <c r="G6" s="9">
        <f>'[2]2026目标拆解--何欢洁'!F4</f>
        <v>203112</v>
      </c>
      <c r="H6" s="9">
        <f>'[2]2026目标拆解--何欢洁'!G4</f>
        <v>233561.44</v>
      </c>
      <c r="I6" s="9">
        <f>'[2]2026目标拆解--何欢洁'!H4</f>
        <v>280919.52</v>
      </c>
      <c r="J6" s="9">
        <f>'[2]2026目标拆解--何欢洁'!I4</f>
        <v>360393.6</v>
      </c>
      <c r="K6" s="9">
        <f>'[2]2026目标拆解--何欢洁'!J4</f>
        <v>463893.92</v>
      </c>
      <c r="L6" s="9">
        <f>'[2]2026目标拆解--何欢洁'!K4</f>
        <v>448929.6</v>
      </c>
      <c r="M6" s="9">
        <f>'[2]2026目标拆解--何欢洁'!L4</f>
        <v>369177.76</v>
      </c>
      <c r="N6" s="9">
        <f>'[2]2026目标拆解--何欢洁'!M4</f>
        <v>233561.44</v>
      </c>
      <c r="O6" s="28">
        <f t="shared" ref="O6:O11" si="0">SUM(C6:N6)</f>
        <v>3064618.112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'[2]2026年月度数据汇总--俄罗斯'!C13+'[2]2026年月度数据汇总--俄罗斯'!C18</f>
        <v>83603.37</v>
      </c>
      <c r="D7" s="12">
        <f>'[2]2026年月度数据汇总--俄罗斯'!D13+'[2]2026年月度数据汇总--俄罗斯'!D18</f>
        <v>95848</v>
      </c>
      <c r="E7" s="12">
        <f>'[2]2026年月度数据汇总--俄罗斯'!E13+'[2]2026年月度数据汇总--俄罗斯'!E18</f>
        <v>110332.43</v>
      </c>
      <c r="F7" s="12">
        <f>'[2]2026年月度数据汇总--俄罗斯'!F13+'[2]2026年月度数据汇总--俄罗斯'!F18</f>
        <v>192974.79</v>
      </c>
      <c r="G7" s="12">
        <f>'[2]2026年月度数据汇总--俄罗斯'!G13+'[2]2026年月度数据汇总--俄罗斯'!G18</f>
        <v>283928.4</v>
      </c>
      <c r="H7" s="12">
        <f>'[2]2026年月度数据汇总--俄罗斯'!H13+'[2]2026年月度数据汇总--俄罗斯'!H18</f>
        <v>144320.02</v>
      </c>
      <c r="I7" s="12">
        <f>'[2]2026年月度数据汇总--俄罗斯'!I13+'[2]2026年月度数据汇总--俄罗斯'!I18</f>
        <v>0</v>
      </c>
      <c r="J7" s="12">
        <f>'[2]2026年月度数据汇总--俄罗斯'!J13+'[2]2026年月度数据汇总--俄罗斯'!J18</f>
        <v>0</v>
      </c>
      <c r="K7" s="12">
        <f>'[2]2026年月度数据汇总--俄罗斯'!K13+'[2]2026年月度数据汇总--俄罗斯'!K18</f>
        <v>0</v>
      </c>
      <c r="L7" s="12">
        <f>'[2]2026年月度数据汇总--俄罗斯'!L13+'[2]2026年月度数据汇总--俄罗斯'!L18</f>
        <v>0</v>
      </c>
      <c r="M7" s="12">
        <f>'[2]2026年月度数据汇总--俄罗斯'!M13+'[2]2026年月度数据汇总--俄罗斯'!M18</f>
        <v>0</v>
      </c>
      <c r="N7" s="12">
        <f>'[2]2026年月度数据汇总--俄罗斯'!N13+'[2]2026年月度数据汇总--俄罗斯'!N18</f>
        <v>0</v>
      </c>
      <c r="O7" s="12">
        <f t="shared" si="0"/>
        <v>911007.01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0.297266079069626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'[2]2026目标拆解--何欢洁'!B5</f>
        <v>7840</v>
      </c>
      <c r="D10" s="1">
        <f>'[2]2026目标拆解--何欢洁'!C5</f>
        <v>8060</v>
      </c>
      <c r="E10" s="1">
        <f>'[2]2026目标拆解--何欢洁'!D5</f>
        <v>7200</v>
      </c>
      <c r="F10" s="1">
        <f>'[2]2026目标拆解--何欢洁'!E5</f>
        <v>10230</v>
      </c>
      <c r="G10" s="1">
        <f>'[2]2026目标拆解--何欢洁'!F5</f>
        <v>13500</v>
      </c>
      <c r="H10" s="1">
        <f>'[2]2026目标拆解--何欢洁'!G5</f>
        <v>15500</v>
      </c>
      <c r="I10" s="1">
        <f>'[2]2026目标拆解--何欢洁'!H5</f>
        <v>18600</v>
      </c>
      <c r="J10" s="1">
        <f>'[2]2026目标拆解--何欢洁'!I5</f>
        <v>24000</v>
      </c>
      <c r="K10" s="1">
        <f>'[2]2026目标拆解--何欢洁'!J5</f>
        <v>31000</v>
      </c>
      <c r="L10" s="1">
        <f>'[2]2026目标拆解--何欢洁'!K5</f>
        <v>30000</v>
      </c>
      <c r="M10" s="1">
        <f>'[2]2026目标拆解--何欢洁'!L5</f>
        <v>24800</v>
      </c>
      <c r="N10" s="1">
        <f>'[2]2026目标拆解--何欢洁'!M5</f>
        <v>15500</v>
      </c>
      <c r="O10" s="30">
        <f t="shared" si="0"/>
        <v>206230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'[2]2026年月度数据汇总--俄罗斯'!C14+'[2]2026年月度数据汇总--俄罗斯'!C19</f>
        <v>8374</v>
      </c>
      <c r="D11" s="11">
        <f>'[2]2026年月度数据汇总--俄罗斯'!D14+'[2]2026年月度数据汇总--俄罗斯'!D19</f>
        <v>8783</v>
      </c>
      <c r="E11" s="11">
        <f>'[2]2026年月度数据汇总--俄罗斯'!E14+'[2]2026年月度数据汇总--俄罗斯'!E19</f>
        <v>8678</v>
      </c>
      <c r="F11" s="11">
        <f>'[2]2026年月度数据汇总--俄罗斯'!F14+'[2]2026年月度数据汇总--俄罗斯'!F19</f>
        <v>9659</v>
      </c>
      <c r="G11" s="11">
        <f>'[2]2026年月度数据汇总--俄罗斯'!G14+'[2]2026年月度数据汇总--俄罗斯'!G19</f>
        <v>9883</v>
      </c>
      <c r="H11" s="11">
        <f>'[2]2026年月度数据汇总--俄罗斯'!H14+'[2]2026年月度数据汇总--俄罗斯'!H19</f>
        <v>6094</v>
      </c>
      <c r="I11" s="11">
        <f>'[2]2026年月度数据汇总--俄罗斯'!I14+'[2]2026年月度数据汇总--俄罗斯'!I19</f>
        <v>0</v>
      </c>
      <c r="J11" s="11">
        <f>'[2]2026年月度数据汇总--俄罗斯'!J14+'[2]2026年月度数据汇总--俄罗斯'!J19</f>
        <v>0</v>
      </c>
      <c r="K11" s="11">
        <f>'[2]2026年月度数据汇总--俄罗斯'!K14+'[2]2026年月度数据汇总--俄罗斯'!K19</f>
        <v>0</v>
      </c>
      <c r="L11" s="11">
        <f>'[2]2026年月度数据汇总--俄罗斯'!L14+'[2]2026年月度数据汇总--俄罗斯'!L19</f>
        <v>0</v>
      </c>
      <c r="M11" s="11">
        <f>'[2]2026年月度数据汇总--俄罗斯'!M14+'[2]2026年月度数据汇总--俄罗斯'!M19</f>
        <v>0</v>
      </c>
      <c r="N11" s="11">
        <f>'[2]2026年月度数据汇总--俄罗斯'!N14+'[2]2026年月度数据汇总--俄罗斯'!N19</f>
        <v>0</v>
      </c>
      <c r="O11" s="11">
        <f t="shared" si="0"/>
        <v>51471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0.249580565388159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'[2]2026目标拆解--何欢洁'!B6</f>
        <v>2430.4</v>
      </c>
      <c r="D14" s="17">
        <f>'[2]2026目标拆解--何欢洁'!C6</f>
        <v>2498.6</v>
      </c>
      <c r="E14" s="17">
        <f>'[2]2026目标拆解--何欢洁'!D6</f>
        <v>2232</v>
      </c>
      <c r="F14" s="17">
        <f>'[2]2026目标拆解--何欢洁'!E6</f>
        <v>3171.3</v>
      </c>
      <c r="G14" s="17">
        <f>'[2]2026目标拆解--何欢洁'!F6</f>
        <v>4185</v>
      </c>
      <c r="H14" s="17">
        <f>'[2]2026目标拆解--何欢洁'!G6</f>
        <v>4805</v>
      </c>
      <c r="I14" s="17">
        <f>'[2]2026目标拆解--何欢洁'!H6</f>
        <v>5766</v>
      </c>
      <c r="J14" s="17">
        <f>'[2]2026目标拆解--何欢洁'!I6</f>
        <v>7440</v>
      </c>
      <c r="K14" s="17">
        <f>'[2]2026目标拆解--何欢洁'!J6</f>
        <v>9610</v>
      </c>
      <c r="L14" s="17">
        <f>'[2]2026目标拆解--何欢洁'!K6</f>
        <v>9300</v>
      </c>
      <c r="M14" s="17">
        <f>'[2]2026目标拆解--何欢洁'!L6</f>
        <v>7688</v>
      </c>
      <c r="N14" s="17">
        <f>'[2]2026目标拆解--何欢洁'!M6</f>
        <v>4805</v>
      </c>
      <c r="O14" s="30">
        <f t="shared" ref="O14:O19" si="1">SUM(C14:N14)</f>
        <v>63931.3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'[2]2026年月度数据汇总--俄罗斯'!C15+'[2]2026年月度数据汇总--俄罗斯'!C20</f>
        <v>2770</v>
      </c>
      <c r="D15" s="11">
        <f>'[2]2026年月度数据汇总--俄罗斯'!D15+'[2]2026年月度数据汇总--俄罗斯'!D20</f>
        <v>3051</v>
      </c>
      <c r="E15" s="11">
        <f>'[2]2026年月度数据汇总--俄罗斯'!E15+'[2]2026年月度数据汇总--俄罗斯'!E20</f>
        <v>3111</v>
      </c>
      <c r="F15" s="11">
        <f>'[2]2026年月度数据汇总--俄罗斯'!F15+'[2]2026年月度数据汇总--俄罗斯'!F20</f>
        <v>3306</v>
      </c>
      <c r="G15" s="11">
        <f>'[2]2026年月度数据汇总--俄罗斯'!G15+'[2]2026年月度数据汇总--俄罗斯'!G20</f>
        <v>3764</v>
      </c>
      <c r="H15" s="11">
        <f>'[2]2026年月度数据汇总--俄罗斯'!H15+'[2]2026年月度数据汇总--俄罗斯'!H20</f>
        <v>2249</v>
      </c>
      <c r="I15" s="11">
        <f>'[2]2026年月度数据汇总--俄罗斯'!I15+'[2]2026年月度数据汇总--俄罗斯'!I20</f>
        <v>0</v>
      </c>
      <c r="J15" s="11">
        <f>'[2]2026年月度数据汇总--俄罗斯'!J15+'[2]2026年月度数据汇总--俄罗斯'!J20</f>
        <v>0</v>
      </c>
      <c r="K15" s="11">
        <f>'[2]2026年月度数据汇总--俄罗斯'!K15+'[2]2026年月度数据汇总--俄罗斯'!K20</f>
        <v>0</v>
      </c>
      <c r="L15" s="11">
        <f>'[2]2026年月度数据汇总--俄罗斯'!L15+'[2]2026年月度数据汇总--俄罗斯'!L20</f>
        <v>0</v>
      </c>
      <c r="M15" s="11">
        <f>'[2]2026年月度数据汇总--俄罗斯'!M15+'[2]2026年月度数据汇总--俄罗斯'!M20</f>
        <v>0</v>
      </c>
      <c r="N15" s="11">
        <f>'[2]2026年月度数据汇总--俄罗斯'!N15+'[2]2026年月度数据汇总--俄罗斯'!N20</f>
        <v>0</v>
      </c>
      <c r="O15" s="11">
        <f t="shared" si="1"/>
        <v>18251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0.28547831813212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'[2]2026目标拆解--何欢洁'!B8</f>
        <v>32732000</v>
      </c>
      <c r="D18" s="18">
        <f>'[2]2026目标拆解--何欢洁'!C8</f>
        <v>34255000</v>
      </c>
      <c r="E18" s="18">
        <f>'[2]2026目标拆解--何欢洁'!D8</f>
        <v>30780000</v>
      </c>
      <c r="F18" s="18">
        <f>'[2]2026目标拆解--何欢洁'!E8</f>
        <v>44547000</v>
      </c>
      <c r="G18" s="18">
        <f>'[2]2026目标拆解--何欢洁'!F8</f>
        <v>58500000</v>
      </c>
      <c r="H18" s="18">
        <f>'[2]2026目标拆解--何欢洁'!G8</f>
        <v>67270000</v>
      </c>
      <c r="I18" s="18">
        <f>'[2]2026目标拆解--何欢洁'!H8</f>
        <v>80910000</v>
      </c>
      <c r="J18" s="18">
        <f>'[2]2026目标拆解--何欢洁'!I8</f>
        <v>103800000</v>
      </c>
      <c r="K18" s="18">
        <f>'[2]2026目标拆解--何欢洁'!J8</f>
        <v>133610000</v>
      </c>
      <c r="L18" s="18">
        <f>'[2]2026目标拆解--何欢洁'!K8</f>
        <v>129300000</v>
      </c>
      <c r="M18" s="18">
        <f>'[2]2026目标拆解--何欢洁'!L8</f>
        <v>106330000</v>
      </c>
      <c r="N18" s="18">
        <f>'[2]2026目标拆解--何欢洁'!M8</f>
        <v>67270000</v>
      </c>
      <c r="O18" s="31">
        <f t="shared" si="1"/>
        <v>889304000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'[2]2026年月度数据汇总--俄罗斯'!C16+'[2]2026年月度数据汇总--俄罗斯'!C21</f>
        <v>2701839.4425</v>
      </c>
      <c r="D19" s="19">
        <f>'[2]2026年月度数据汇总--俄罗斯'!D16+'[2]2026年月度数据汇总--俄罗斯'!D21</f>
        <v>2931933.959</v>
      </c>
      <c r="E19" s="19">
        <f>'[2]2026年月度数据汇总--俄罗斯'!E16+'[2]2026年月度数据汇总--俄罗斯'!E21</f>
        <v>3224274.0568</v>
      </c>
      <c r="F19" s="19">
        <f>'[2]2026年月度数据汇总--俄罗斯'!F16+'[2]2026年月度数据汇总--俄罗斯'!F21</f>
        <v>3898400.3496</v>
      </c>
      <c r="G19" s="19">
        <f>'[2]2026年月度数据汇总--俄罗斯'!G16+'[2]2026年月度数据汇总--俄罗斯'!G21</f>
        <v>4151543.7888</v>
      </c>
      <c r="H19" s="19">
        <f>'[2]2026年月度数据汇总--俄罗斯'!H16+'[2]2026年月度数据汇总--俄罗斯'!H21</f>
        <v>2513446.9992</v>
      </c>
      <c r="I19" s="19">
        <f>'[2]2026年月度数据汇总--俄罗斯'!I16+'[2]2026年月度数据汇总--俄罗斯'!I21</f>
        <v>0</v>
      </c>
      <c r="J19" s="19">
        <f>'[2]2026年月度数据汇总--俄罗斯'!J16+'[2]2026年月度数据汇总--俄罗斯'!J21</f>
        <v>0</v>
      </c>
      <c r="K19" s="19">
        <f>'[2]2026年月度数据汇总--俄罗斯'!K16+'[2]2026年月度数据汇总--俄罗斯'!K21</f>
        <v>0</v>
      </c>
      <c r="L19" s="19">
        <f>'[2]2026年月度数据汇总--俄罗斯'!L16+'[2]2026年月度数据汇总--俄罗斯'!L21</f>
        <v>0</v>
      </c>
      <c r="M19" s="19">
        <f>'[2]2026年月度数据汇总--俄罗斯'!M16+'[2]2026年月度数据汇总--俄罗斯'!M21</f>
        <v>0</v>
      </c>
      <c r="N19" s="19">
        <f>'[2]2026年月度数据汇总--俄罗斯'!N16+'[2]2026年月度数据汇总--俄罗斯'!N21</f>
        <v>0</v>
      </c>
      <c r="O19" s="19">
        <f t="shared" si="1"/>
        <v>19421438.5959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0.476369032961964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0.0218389196449133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>
        <f>SUM(C22:N22)</f>
        <v>0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 t="e">
        <f>O23/O22</f>
        <v>#DIV/0!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2">1-C23/C19</f>
        <v>1</v>
      </c>
      <c r="D26" s="13">
        <f t="shared" si="2"/>
        <v>1</v>
      </c>
      <c r="E26" s="13">
        <f t="shared" si="2"/>
        <v>1</v>
      </c>
      <c r="F26" s="13">
        <f t="shared" si="2"/>
        <v>1</v>
      </c>
      <c r="G26" s="13">
        <f t="shared" si="2"/>
        <v>1</v>
      </c>
      <c r="H26" s="13">
        <f t="shared" si="2"/>
        <v>1</v>
      </c>
      <c r="I26" s="13" t="e">
        <f t="shared" si="2"/>
        <v>#DIV/0!</v>
      </c>
      <c r="J26" s="13" t="e">
        <f t="shared" si="2"/>
        <v>#DIV/0!</v>
      </c>
      <c r="K26" s="13" t="e">
        <f t="shared" si="2"/>
        <v>#DIV/0!</v>
      </c>
      <c r="L26" s="13" t="e">
        <f t="shared" si="2"/>
        <v>#DIV/0!</v>
      </c>
      <c r="M26" s="13" t="e">
        <f t="shared" si="2"/>
        <v>#DIV/0!</v>
      </c>
      <c r="N26" s="13" t="e">
        <f t="shared" si="2"/>
        <v>#DIV/0!</v>
      </c>
      <c r="O26" s="13">
        <f t="shared" si="2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3">1-C15/C11</f>
        <v>0.669214234535467</v>
      </c>
      <c r="D27" s="13">
        <f t="shared" si="3"/>
        <v>0.652624388022316</v>
      </c>
      <c r="E27" s="13">
        <f t="shared" si="3"/>
        <v>0.641507259737267</v>
      </c>
      <c r="F27" s="13">
        <f t="shared" si="3"/>
        <v>0.657728543327467</v>
      </c>
      <c r="G27" s="13">
        <f t="shared" si="3"/>
        <v>0.619143984620055</v>
      </c>
      <c r="H27" s="13">
        <f t="shared" si="3"/>
        <v>0.630948473908763</v>
      </c>
      <c r="I27" s="13" t="e">
        <f t="shared" si="3"/>
        <v>#DIV/0!</v>
      </c>
      <c r="J27" s="13" t="e">
        <f t="shared" si="3"/>
        <v>#DIV/0!</v>
      </c>
      <c r="K27" s="13" t="e">
        <f t="shared" si="3"/>
        <v>#DIV/0!</v>
      </c>
      <c r="L27" s="13" t="e">
        <f t="shared" si="3"/>
        <v>#DIV/0!</v>
      </c>
      <c r="M27" s="13" t="e">
        <f t="shared" si="3"/>
        <v>#DIV/0!</v>
      </c>
      <c r="N27" s="13" t="e">
        <f t="shared" si="3"/>
        <v>#DIV/0!</v>
      </c>
      <c r="O27" s="13">
        <f t="shared" si="3"/>
        <v>0.645411979561306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4">C7/(C23)</f>
        <v>#DIV/0!</v>
      </c>
      <c r="D28" s="13" t="e">
        <f t="shared" si="4"/>
        <v>#DIV/0!</v>
      </c>
      <c r="E28" s="13" t="e">
        <f t="shared" si="4"/>
        <v>#DIV/0!</v>
      </c>
      <c r="F28" s="13" t="e">
        <f t="shared" si="4"/>
        <v>#DIV/0!</v>
      </c>
      <c r="G28" s="13" t="e">
        <f t="shared" si="4"/>
        <v>#DIV/0!</v>
      </c>
      <c r="H28" s="13" t="e">
        <f t="shared" si="4"/>
        <v>#DIV/0!</v>
      </c>
      <c r="I28" s="13" t="e">
        <f t="shared" si="4"/>
        <v>#DIV/0!</v>
      </c>
      <c r="J28" s="13" t="e">
        <f t="shared" si="4"/>
        <v>#DIV/0!</v>
      </c>
      <c r="K28" s="13" t="e">
        <f t="shared" si="4"/>
        <v>#DIV/0!</v>
      </c>
      <c r="L28" s="13" t="e">
        <f t="shared" si="4"/>
        <v>#DIV/0!</v>
      </c>
      <c r="M28" s="13" t="e">
        <f t="shared" si="4"/>
        <v>#DIV/0!</v>
      </c>
      <c r="N28" s="13" t="e">
        <f t="shared" si="4"/>
        <v>#DIV/0!</v>
      </c>
      <c r="O28" s="13" t="e">
        <f t="shared" si="4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26" operator="greaterThan">
      <formula>0</formula>
    </cfRule>
  </conditionalFormatting>
  <conditionalFormatting sqref="C7:N7">
    <cfRule type="cellIs" dxfId="1" priority="21" operator="greaterThan">
      <formula>0</formula>
    </cfRule>
    <cfRule type="cellIs" dxfId="2" priority="20" operator="lessThan">
      <formula>0</formula>
    </cfRule>
  </conditionalFormatting>
  <conditionalFormatting sqref="O7">
    <cfRule type="cellIs" dxfId="0" priority="15" operator="greaterThan">
      <formula>0</formula>
    </cfRule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C8:N8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{aa3f6560-21eb-4bec-b6bf-5697438d3315}</x14:id>
        </ext>
      </extLst>
    </cfRule>
  </conditionalFormatting>
  <conditionalFormatting sqref="O8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{5508a77f-be2a-48f2-b9be-0e6bbed65b3f}</x14:id>
        </ext>
      </extLst>
    </cfRule>
  </conditionalFormatting>
  <conditionalFormatting sqref="C12:N12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{abc651fb-f841-4002-8141-d0aafe044223}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{d45611b3-9398-47a5-8d66-7d7ffd04e28a}</x14:id>
        </ext>
      </extLst>
    </cfRule>
  </conditionalFormatting>
  <conditionalFormatting sqref="C16:N1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{479cb120-c7a1-47d9-8054-9319d9afc2d1}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{120941f6-55a5-4ce2-bdc0-7315c227d67c}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{faa45d6d-6d93-4910-b3d6-2e11083f0ce2}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{3a45acb7-e203-468f-8977-00729cbd63af}</x14:id>
        </ext>
      </extLst>
    </cfRule>
  </conditionalFormatting>
  <conditionalFormatting sqref="C24:N24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{66c5a367-f219-4d73-8cf3-4d54c632e705}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{d4836457-0298-49b1-90a3-d9f221954a6d}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{c016f0db-e482-4ee1-aa34-c736ea3f0249}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23" operator="greaterThan">
      <formula>0</formula>
    </cfRule>
    <cfRule type="cellIs" dxfId="2" priority="22" operator="lessThan">
      <formula>0</formula>
    </cfRule>
  </conditionalFormatting>
  <conditionalFormatting sqref="B26:B27">
    <cfRule type="cellIs" dxfId="2" priority="25" operator="greaterThan">
      <formula>0.68</formula>
    </cfRule>
    <cfRule type="cellIs" dxfId="1" priority="2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{4fdd3c22-1eb5-4837-9182-96ad2305f63d}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3f6560-21eb-4bec-b6bf-5697438d331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5508a77f-be2a-48f2-b9be-0e6bbed65b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abc651fb-f841-4002-8141-d0aafe04422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d45611b3-9398-47a5-8d66-7d7ffd04e28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479cb120-c7a1-47d9-8054-9319d9afc2d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120941f6-55a5-4ce2-bdc0-7315c227d67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faa45d6d-6d93-4910-b3d6-2e11083f0ce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3a45acb7-e203-468f-8977-00729cbd63a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66c5a367-f219-4d73-8cf3-4d54c632e70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d4836457-0298-49b1-90a3-d9f221954a6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c016f0db-e482-4ee1-aa34-c736ea3f024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4fdd3c22-1eb5-4837-9182-96ad2305f63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一部\WB运营报表\目标\2026年俄罗斯一部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杨皓</vt:lpstr>
      <vt:lpstr>郑志远</vt:lpstr>
      <vt:lpstr>何欢洁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2026-07-22T01:13:40Z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