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2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<sst xmlns="http://schemas.openxmlformats.org/spreadsheetml/2006/main" count="252" uniqueCount="42">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</sst>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9" fontId="1" fillId="0" borderId="1" xfId="3" applyFont="1" applyFill="1" applyBorder="1" applyAlignment="1" applyProtection="1">
      <alignment horizontal="center" vertical="center"/>
    </xf>
    <xf numFmtId="0" fontId="1" fillId="6" borderId="0" xfId="0" applyFont="1" applyFill="1" applyAlignment="1">
      <alignment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  <sheetName val="陈"/>
      <sheetName val="陈欣"/>
      <sheetName val="林"/>
      <sheetName val="林梓"/>
      <sheetName val="包"/>
      <sheetName val="包家"/>
      <sheetName val="杨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B45">
            <v>22786.22</v>
          </cell>
          <cell r="C45">
            <v>120856.31</v>
          </cell>
          <cell r="D45">
            <v>114083.09</v>
          </cell>
          <cell r="E45">
            <v>92574.56</v>
          </cell>
          <cell r="F45">
            <v>100423.98</v>
          </cell>
          <cell r="G45">
            <v>185876.7</v>
          </cell>
        </row>
        <row r="46">
          <cell r="B46">
            <v>57252.98</v>
          </cell>
          <cell r="C46">
            <v>126071.82</v>
          </cell>
          <cell r="D46">
            <v>90908.16</v>
          </cell>
          <cell r="E46">
            <v>133011.74</v>
          </cell>
          <cell r="F46">
            <v>159761.43</v>
          </cell>
          <cell r="G46">
            <v>163961.13</v>
          </cell>
        </row>
        <row r="47">
          <cell r="B47">
            <v>87628.76</v>
          </cell>
          <cell r="C47">
            <v>171781.7</v>
          </cell>
          <cell r="D47">
            <v>105113.29</v>
          </cell>
          <cell r="E47">
            <v>85294.94</v>
          </cell>
          <cell r="F47">
            <v>176058.01</v>
          </cell>
        </row>
        <row r="48">
          <cell r="B48">
            <v>113025.62</v>
          </cell>
          <cell r="C48">
            <v>161987.51</v>
          </cell>
          <cell r="D48">
            <v>85159.25</v>
          </cell>
          <cell r="E48">
            <v>107651.59</v>
          </cell>
          <cell r="F48">
            <v>157424.67</v>
          </cell>
        </row>
        <row r="49">
          <cell r="C49">
            <v>117603.33</v>
          </cell>
        </row>
        <row r="49">
          <cell r="E49">
            <v>78292.17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B71">
            <v>-11533.5</v>
          </cell>
          <cell r="C71">
            <v>957.27</v>
          </cell>
          <cell r="D71">
            <v>-2072.67</v>
          </cell>
          <cell r="E71">
            <v>-1579</v>
          </cell>
        </row>
        <row r="71">
          <cell r="G71">
            <v>19303.95</v>
          </cell>
        </row>
        <row r="72">
          <cell r="B72">
            <v>4468.02</v>
          </cell>
          <cell r="C72">
            <v>13709.59</v>
          </cell>
          <cell r="D72">
            <v>9339.48</v>
          </cell>
          <cell r="E72">
            <v>17659.06</v>
          </cell>
        </row>
        <row r="72">
          <cell r="G72">
            <v>17337.95</v>
          </cell>
        </row>
        <row r="73">
          <cell r="B73">
            <v>10431.85</v>
          </cell>
          <cell r="C73">
            <v>863.63</v>
          </cell>
          <cell r="D73">
            <v>-159.41</v>
          </cell>
          <cell r="E73">
            <v>15625.48</v>
          </cell>
        </row>
        <row r="74">
          <cell r="B74">
            <v>11437.39</v>
          </cell>
          <cell r="C74">
            <v>13675.45</v>
          </cell>
          <cell r="D74">
            <v>7061.15</v>
          </cell>
          <cell r="E74">
            <v>6285.12</v>
          </cell>
        </row>
        <row r="75">
          <cell r="C75">
            <v>9612.01</v>
          </cell>
        </row>
        <row r="75">
          <cell r="E75">
            <v>11832.22</v>
          </cell>
        </row>
        <row r="82">
          <cell r="B82">
            <v>249612</v>
          </cell>
          <cell r="C82">
            <v>485112.393442623</v>
          </cell>
          <cell r="D82">
            <v>397534.426229508</v>
          </cell>
          <cell r="E82">
            <v>391039.081967214</v>
          </cell>
          <cell r="F82">
            <v>369194.754098361</v>
          </cell>
          <cell r="G82">
            <v>324188.852459017</v>
          </cell>
          <cell r="H82">
            <v>367365.245901639</v>
          </cell>
          <cell r="I82">
            <v>355514.754098361</v>
          </cell>
          <cell r="J82">
            <v>342618.098360656</v>
          </cell>
          <cell r="K82">
            <v>336998.360655738</v>
          </cell>
          <cell r="L82">
            <v>344526.885245901</v>
          </cell>
          <cell r="M82">
            <v>252862.426229508</v>
          </cell>
        </row>
        <row r="83">
          <cell r="B83">
            <v>18798.63</v>
          </cell>
          <cell r="C83">
            <v>70261.4</v>
          </cell>
          <cell r="D83">
            <v>115927.36</v>
          </cell>
          <cell r="E83">
            <v>38311.5</v>
          </cell>
          <cell r="F83">
            <v>25461.43</v>
          </cell>
          <cell r="G83">
            <v>42597.61</v>
          </cell>
        </row>
        <row r="84">
          <cell r="B84">
            <v>44358.75</v>
          </cell>
          <cell r="C84">
            <v>135274.74</v>
          </cell>
          <cell r="D84">
            <v>92048.7</v>
          </cell>
          <cell r="E84">
            <v>69082.5</v>
          </cell>
          <cell r="F84">
            <v>56724.2</v>
          </cell>
          <cell r="G84">
            <v>41903.57</v>
          </cell>
        </row>
        <row r="85">
          <cell r="B85">
            <v>60795.74</v>
          </cell>
          <cell r="C85">
            <v>138404.07</v>
          </cell>
          <cell r="D85">
            <v>69267.05</v>
          </cell>
          <cell r="E85">
            <v>45931.85</v>
          </cell>
          <cell r="F85">
            <v>40273.32</v>
          </cell>
        </row>
        <row r="86">
          <cell r="B86">
            <v>68300.77</v>
          </cell>
          <cell r="C86">
            <v>117457.3</v>
          </cell>
          <cell r="D86">
            <v>54071.91</v>
          </cell>
          <cell r="E86">
            <v>71078.3</v>
          </cell>
          <cell r="F86">
            <v>42588.76</v>
          </cell>
        </row>
        <row r="87">
          <cell r="B87">
            <v>58973.86</v>
          </cell>
        </row>
        <row r="87">
          <cell r="E87">
            <v>21324.35</v>
          </cell>
        </row>
      </sheetData>
      <sheetData sheetId="1"/>
      <sheetData sheetId="2"/>
      <sheetData sheetId="3"/>
      <sheetData sheetId="4">
        <row r="4">
          <cell r="B4">
            <v>42401820</v>
          </cell>
          <cell r="C4">
            <v>37308500</v>
          </cell>
          <cell r="D4">
            <v>34860000</v>
          </cell>
          <cell r="E4">
            <v>36022000</v>
          </cell>
          <cell r="F4">
            <v>50049000</v>
          </cell>
          <cell r="G4">
            <v>42840450</v>
          </cell>
          <cell r="H4">
            <v>53775700</v>
          </cell>
          <cell r="I4">
            <v>52041000</v>
          </cell>
          <cell r="J4">
            <v>50173500</v>
          </cell>
          <cell r="K4">
            <v>48306000</v>
          </cell>
          <cell r="L4">
            <v>50173500</v>
          </cell>
          <cell r="M4">
            <v>27788400</v>
          </cell>
        </row>
        <row r="5">
          <cell r="B5">
            <v>12989304</v>
          </cell>
          <cell r="C5">
            <v>11906557.5</v>
          </cell>
          <cell r="D5">
            <v>11117850</v>
          </cell>
          <cell r="E5">
            <v>11488445</v>
          </cell>
          <cell r="F5">
            <v>15979575</v>
          </cell>
          <cell r="G5">
            <v>13661986.75</v>
          </cell>
          <cell r="H5">
            <v>17161910</v>
          </cell>
          <cell r="I5">
            <v>16608300</v>
          </cell>
          <cell r="J5">
            <v>16010492.5</v>
          </cell>
          <cell r="K5">
            <v>15413100</v>
          </cell>
          <cell r="L5">
            <v>16010492.5</v>
          </cell>
          <cell r="M5">
            <v>8863985</v>
          </cell>
        </row>
        <row r="7">
          <cell r="B7">
            <v>12430</v>
          </cell>
          <cell r="C7">
            <v>8990</v>
          </cell>
          <cell r="D7">
            <v>8400</v>
          </cell>
          <cell r="E7">
            <v>8680</v>
          </cell>
          <cell r="F7">
            <v>12060</v>
          </cell>
          <cell r="G7">
            <v>10323</v>
          </cell>
          <cell r="H7">
            <v>12958</v>
          </cell>
          <cell r="I7">
            <v>12540</v>
          </cell>
          <cell r="J7">
            <v>12090</v>
          </cell>
          <cell r="K7">
            <v>11640</v>
          </cell>
          <cell r="L7">
            <v>12090</v>
          </cell>
          <cell r="M7">
            <v>6696</v>
          </cell>
        </row>
        <row r="8">
          <cell r="B8">
            <v>3858</v>
          </cell>
          <cell r="C8">
            <v>2869.05</v>
          </cell>
          <cell r="D8">
            <v>2679</v>
          </cell>
          <cell r="E8">
            <v>2768.3</v>
          </cell>
          <cell r="F8">
            <v>3850.5</v>
          </cell>
          <cell r="G8">
            <v>3292.045</v>
          </cell>
          <cell r="H8">
            <v>4135.4</v>
          </cell>
          <cell r="I8">
            <v>4002</v>
          </cell>
          <cell r="J8">
            <v>3857.95</v>
          </cell>
          <cell r="K8">
            <v>3714</v>
          </cell>
          <cell r="L8">
            <v>3857.95</v>
          </cell>
          <cell r="M8">
            <v>2135.9</v>
          </cell>
        </row>
      </sheetData>
      <sheetData sheetId="5">
        <row r="4">
          <cell r="B4">
            <v>60945529</v>
          </cell>
          <cell r="C4">
            <v>105245000</v>
          </cell>
          <cell r="D4">
            <v>93900000</v>
          </cell>
          <cell r="E4">
            <v>97045500</v>
          </cell>
          <cell r="F4">
            <v>92040000</v>
          </cell>
          <cell r="G4">
            <v>88164000</v>
          </cell>
          <cell r="H4">
            <v>82258500</v>
          </cell>
          <cell r="I4">
            <v>79605000</v>
          </cell>
          <cell r="J4">
            <v>79050000</v>
          </cell>
          <cell r="K4">
            <v>77737500</v>
          </cell>
          <cell r="L4">
            <v>80328750</v>
          </cell>
          <cell r="M4">
            <v>65541750</v>
          </cell>
        </row>
        <row r="5">
          <cell r="B5">
            <v>19257804</v>
          </cell>
          <cell r="C5">
            <v>33219600</v>
          </cell>
          <cell r="D5">
            <v>29664000</v>
          </cell>
          <cell r="E5">
            <v>30682560</v>
          </cell>
          <cell r="F5">
            <v>29116800</v>
          </cell>
          <cell r="G5">
            <v>27914880</v>
          </cell>
          <cell r="H5">
            <v>26322720</v>
          </cell>
          <cell r="I5">
            <v>25473600</v>
          </cell>
          <cell r="J5">
            <v>25296000</v>
          </cell>
          <cell r="K5">
            <v>24876000</v>
          </cell>
          <cell r="L5">
            <v>25705200</v>
          </cell>
          <cell r="M5">
            <v>20973360</v>
          </cell>
        </row>
        <row r="7">
          <cell r="B7">
            <v>15652</v>
          </cell>
          <cell r="C7">
            <v>25575</v>
          </cell>
          <cell r="D7">
            <v>22800</v>
          </cell>
          <cell r="E7">
            <v>23560</v>
          </cell>
          <cell r="F7">
            <v>22350</v>
          </cell>
          <cell r="G7">
            <v>21390</v>
          </cell>
          <cell r="H7">
            <v>19840</v>
          </cell>
          <cell r="I7">
            <v>19200</v>
          </cell>
          <cell r="J7">
            <v>19065</v>
          </cell>
          <cell r="K7">
            <v>18750</v>
          </cell>
          <cell r="L7">
            <v>19375</v>
          </cell>
          <cell r="M7">
            <v>15810</v>
          </cell>
        </row>
        <row r="8">
          <cell r="B8">
            <v>4931</v>
          </cell>
          <cell r="C8">
            <v>8069.3</v>
          </cell>
          <cell r="D8">
            <v>7200</v>
          </cell>
          <cell r="E8">
            <v>7446.2</v>
          </cell>
          <cell r="F8">
            <v>7068</v>
          </cell>
          <cell r="G8">
            <v>6770.4</v>
          </cell>
          <cell r="H8">
            <v>6348.8</v>
          </cell>
          <cell r="I8">
            <v>6144</v>
          </cell>
          <cell r="J8">
            <v>6100.8</v>
          </cell>
          <cell r="K8">
            <v>6000</v>
          </cell>
          <cell r="L8">
            <v>6200</v>
          </cell>
          <cell r="M8">
            <v>5059.2</v>
          </cell>
        </row>
      </sheetData>
      <sheetData sheetId="6">
        <row r="4">
          <cell r="B4">
            <v>56082794</v>
          </cell>
          <cell r="C4">
            <v>74982800</v>
          </cell>
          <cell r="D4">
            <v>71130000</v>
          </cell>
          <cell r="E4">
            <v>76384000</v>
          </cell>
          <cell r="F4">
            <v>69642000</v>
          </cell>
          <cell r="G4">
            <v>114554300</v>
          </cell>
          <cell r="H4">
            <v>129936500</v>
          </cell>
          <cell r="I4">
            <v>116677500</v>
          </cell>
          <cell r="J4">
            <v>115064250</v>
          </cell>
          <cell r="K4">
            <v>111975000</v>
          </cell>
          <cell r="L4">
            <v>115707500</v>
          </cell>
          <cell r="M4">
            <v>86663600</v>
          </cell>
        </row>
        <row r="5">
          <cell r="B5">
            <v>18111083.2</v>
          </cell>
          <cell r="C5">
            <v>24390428</v>
          </cell>
          <cell r="D5">
            <v>23108700</v>
          </cell>
          <cell r="E5">
            <v>24759700</v>
          </cell>
          <cell r="F5">
            <v>22597020</v>
          </cell>
          <cell r="G5">
            <v>33354698</v>
          </cell>
          <cell r="H5">
            <v>37130870</v>
          </cell>
          <cell r="I5">
            <v>33128400</v>
          </cell>
          <cell r="J5">
            <v>32808540</v>
          </cell>
          <cell r="K5">
            <v>31949400</v>
          </cell>
          <cell r="L5">
            <v>33014380</v>
          </cell>
          <cell r="M5">
            <v>24586720</v>
          </cell>
        </row>
        <row r="7">
          <cell r="B7">
            <v>13608</v>
          </cell>
          <cell r="C7">
            <v>18135</v>
          </cell>
          <cell r="D7">
            <v>17250</v>
          </cell>
          <cell r="E7">
            <v>18600</v>
          </cell>
          <cell r="F7">
            <v>16950</v>
          </cell>
          <cell r="G7">
            <v>26815</v>
          </cell>
          <cell r="H7">
            <v>30225</v>
          </cell>
          <cell r="I7">
            <v>26850</v>
          </cell>
          <cell r="J7">
            <v>26505</v>
          </cell>
          <cell r="K7">
            <v>25800</v>
          </cell>
          <cell r="L7">
            <v>26660</v>
          </cell>
          <cell r="M7">
            <v>19933</v>
          </cell>
        </row>
        <row r="8">
          <cell r="B8">
            <v>4403.84</v>
          </cell>
          <cell r="C8">
            <v>5894.65</v>
          </cell>
          <cell r="D8">
            <v>5599.5</v>
          </cell>
          <cell r="E8">
            <v>6023.3</v>
          </cell>
          <cell r="F8">
            <v>5494.5</v>
          </cell>
          <cell r="G8">
            <v>7884.85</v>
          </cell>
          <cell r="H8">
            <v>8734.25</v>
          </cell>
          <cell r="I8">
            <v>7710</v>
          </cell>
          <cell r="J8">
            <v>7641.5</v>
          </cell>
          <cell r="K8">
            <v>7443</v>
          </cell>
          <cell r="L8">
            <v>7691.1</v>
          </cell>
          <cell r="M8">
            <v>5719.5</v>
          </cell>
        </row>
      </sheetData>
      <sheetData sheetId="7">
        <row r="4">
          <cell r="B4">
            <v>66868745</v>
          </cell>
          <cell r="C4">
            <v>95061500</v>
          </cell>
          <cell r="D4">
            <v>95460000</v>
          </cell>
          <cell r="E4">
            <v>97355500</v>
          </cell>
          <cell r="F4">
            <v>101805000</v>
          </cell>
          <cell r="G4">
            <v>94906500</v>
          </cell>
          <cell r="H4">
            <v>118861750</v>
          </cell>
          <cell r="I4">
            <v>115027500</v>
          </cell>
          <cell r="J4">
            <v>116870000</v>
          </cell>
          <cell r="K4">
            <v>113100000</v>
          </cell>
          <cell r="L4">
            <v>116870000</v>
          </cell>
          <cell r="M4">
            <v>84428500</v>
          </cell>
        </row>
        <row r="5">
          <cell r="B5">
            <v>21740692.4</v>
          </cell>
          <cell r="C5">
            <v>29725280</v>
          </cell>
          <cell r="D5">
            <v>29827500</v>
          </cell>
          <cell r="E5">
            <v>30422935</v>
          </cell>
          <cell r="F5">
            <v>31846650</v>
          </cell>
          <cell r="G5">
            <v>29690715</v>
          </cell>
          <cell r="H5">
            <v>37197752.5</v>
          </cell>
          <cell r="I5">
            <v>35997825</v>
          </cell>
          <cell r="J5">
            <v>36566825</v>
          </cell>
          <cell r="K5">
            <v>35387250</v>
          </cell>
          <cell r="L5">
            <v>36566825</v>
          </cell>
          <cell r="M5">
            <v>26402080</v>
          </cell>
        </row>
        <row r="7">
          <cell r="B7">
            <v>17722.7622461171</v>
          </cell>
          <cell r="C7">
            <v>22630</v>
          </cell>
          <cell r="D7">
            <v>22800</v>
          </cell>
          <cell r="E7">
            <v>23250</v>
          </cell>
          <cell r="F7">
            <v>24300</v>
          </cell>
          <cell r="G7">
            <v>22630</v>
          </cell>
          <cell r="H7">
            <v>28365</v>
          </cell>
          <cell r="I7">
            <v>27450</v>
          </cell>
          <cell r="J7">
            <v>27900</v>
          </cell>
          <cell r="K7">
            <v>27000</v>
          </cell>
          <cell r="L7">
            <v>27900</v>
          </cell>
          <cell r="M7">
            <v>20150</v>
          </cell>
        </row>
        <row r="8">
          <cell r="B8">
            <v>5752.7762962963</v>
          </cell>
          <cell r="C8">
            <v>7074.2</v>
          </cell>
          <cell r="D8">
            <v>7122</v>
          </cell>
          <cell r="E8">
            <v>7263.3</v>
          </cell>
          <cell r="F8">
            <v>7599</v>
          </cell>
          <cell r="G8">
            <v>7077.3</v>
          </cell>
          <cell r="H8">
            <v>8873.75</v>
          </cell>
          <cell r="I8">
            <v>8587.5</v>
          </cell>
          <cell r="J8">
            <v>8726.5</v>
          </cell>
          <cell r="K8">
            <v>8445</v>
          </cell>
          <cell r="L8">
            <v>8726.5</v>
          </cell>
          <cell r="M8">
            <v>6299.2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7" customWidth="1"/>
    <col min="2" max="2" width="20.8888888888889" style="67" customWidth="1"/>
    <col min="3" max="14" width="15.1111111111111" style="67" customWidth="1"/>
    <col min="15" max="15" width="20.1111111111111" style="67" customWidth="1"/>
    <col min="16" max="16" width="15.6666666666667" style="67"/>
    <col min="17" max="17" width="17" style="67"/>
    <col min="18" max="65" width="15.6666666666667" style="67"/>
    <col min="66" max="66" width="15.6666666666667" style="67" customWidth="1"/>
    <col min="67" max="67" width="15.6666666666667" style="67" hidden="1" customWidth="1"/>
    <col min="68" max="71" width="14.1111111111111" style="67" hidden="1" customWidth="1"/>
    <col min="72" max="72" width="15.2222222222222" style="67" hidden="1" customWidth="1"/>
    <col min="73" max="80" width="8.88888888888889" style="67" hidden="1" customWidth="1"/>
    <col min="81" max="82" width="15.6666666666667" style="67" hidden="1" customWidth="1"/>
    <col min="83" max="84" width="8.88888888888889" style="67" hidden="1" customWidth="1"/>
    <col min="85" max="16384" width="8.88888888888889" style="67"/>
  </cols>
  <sheetData>
    <row r="1" s="67" customFormat="1" ht="17.4" spans="1:83">
      <c r="A1" s="70" t="str">
        <f>'[1]特别隐藏版（勿动、勿看）'!A1</f>
        <v>2026年度WB进度</v>
      </c>
      <c r="B1" s="70">
        <f>'[1]特别隐藏版（勿动、勿看）'!B1</f>
        <v>0</v>
      </c>
      <c r="C1" s="70">
        <f>'[1]特别隐藏版（勿动、勿看）'!C1</f>
        <v>0</v>
      </c>
      <c r="D1" s="70">
        <f>'[1]特别隐藏版（勿动、勿看）'!D1</f>
        <v>0</v>
      </c>
      <c r="E1" s="70">
        <f>'[1]特别隐藏版（勿动、勿看）'!E1</f>
        <v>0</v>
      </c>
      <c r="F1" s="70">
        <f>'[1]特别隐藏版（勿动、勿看）'!F1</f>
        <v>0</v>
      </c>
      <c r="G1" s="70">
        <f>'[1]特别隐藏版（勿动、勿看）'!G1</f>
        <v>0</v>
      </c>
      <c r="H1" s="70">
        <f>'[1]特别隐藏版（勿动、勿看）'!H1</f>
        <v>0</v>
      </c>
      <c r="I1" s="70">
        <f>'[1]特别隐藏版（勿动、勿看）'!I1</f>
        <v>0</v>
      </c>
      <c r="J1" s="70">
        <f>'[1]特别隐藏版（勿动、勿看）'!J1</f>
        <v>0</v>
      </c>
      <c r="K1" s="70">
        <f>'[1]特别隐藏版（勿动、勿看）'!K1</f>
        <v>0</v>
      </c>
      <c r="L1" s="70">
        <f>'[1]特别隐藏版（勿动、勿看）'!L1</f>
        <v>0</v>
      </c>
      <c r="M1" s="70">
        <f>'[1]特别隐藏版（勿动、勿看）'!M1</f>
        <v>0</v>
      </c>
      <c r="N1" s="70">
        <f>'[1]特别隐藏版（勿动、勿看）'!N1</f>
        <v>0</v>
      </c>
      <c r="O1" s="70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7" customFormat="1" spans="1:83">
      <c r="A2" s="70" t="str">
        <f>'[1]特别隐藏版（勿动、勿看）'!A2</f>
        <v>项目</v>
      </c>
      <c r="B2" s="70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70" t="str">
        <f>'[1]特别隐藏版（勿动、勿看）'!O2</f>
        <v>汇总</v>
      </c>
      <c r="BP2" s="70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2"/>
      <c r="CD2" s="112"/>
      <c r="CE2" s="112"/>
    </row>
    <row r="3" s="67" customFormat="1" spans="1:83">
      <c r="A3" s="70">
        <f>'[1]特别隐藏版（勿动、勿看）'!A3</f>
        <v>0</v>
      </c>
      <c r="B3" s="70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70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7" customFormat="1" spans="1:83">
      <c r="A4" s="70">
        <f>'[1]特别隐藏版（勿动、勿看）'!A4</f>
        <v>0</v>
      </c>
      <c r="B4" s="70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71">
        <f>'[1]2026年度男装汇总分析'!F4</f>
        <v>698610.823760655</v>
      </c>
      <c r="G4" s="71">
        <f>'[1]特别隐藏版（勿动、勿看）'!G4</f>
        <v>0</v>
      </c>
      <c r="H4" s="71">
        <f>'[1]特别隐藏版（勿动、勿看）'!H4</f>
        <v>0</v>
      </c>
      <c r="I4" s="79">
        <f>'[1]2026年度男装汇总分析'!I4</f>
        <v>0</v>
      </c>
      <c r="J4" s="79">
        <f>'[1]特别隐藏版（勿动、勿看）'!J4</f>
        <v>0</v>
      </c>
      <c r="K4" s="79">
        <f>'[1]特别隐藏版（勿动、勿看）'!K4</f>
        <v>0</v>
      </c>
      <c r="L4" s="80">
        <f>'[1]2026年度男装汇总分析'!L4</f>
        <v>0</v>
      </c>
      <c r="M4" s="80">
        <f>'[1]特别隐藏版（勿动、勿看）'!M4</f>
        <v>0</v>
      </c>
      <c r="N4" s="80">
        <f>'[1]特别隐藏版（勿动、勿看）'!N4</f>
        <v>0</v>
      </c>
      <c r="O4" s="70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8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81"/>
      <c r="Q5" s="81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7" customFormat="1" ht="31.2" spans="1:83">
      <c r="A6" s="72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2"/>
      <c r="Q6" s="82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7" customFormat="1" spans="1:83">
      <c r="A7" s="73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81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7" customFormat="1" spans="1:83">
      <c r="A8" s="73">
        <f>'[1]特别隐藏版（勿动、勿看）'!A8</f>
        <v>0</v>
      </c>
      <c r="B8" s="70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81"/>
      <c r="Q8" s="81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7" customFormat="1" spans="1:83">
      <c r="A9" s="74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81"/>
      <c r="Q9" s="81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7" customFormat="1" spans="1:83">
      <c r="A10" s="73">
        <f>'[1]特别隐藏版（勿动、勿看）'!A10</f>
        <v>0</v>
      </c>
      <c r="B10" s="70" t="str">
        <f>'[1]特别隐藏版（勿动、勿看）'!B10</f>
        <v>销量目标</v>
      </c>
      <c r="C10" s="75">
        <f>'[1]2026年度男装汇总分析'!C10</f>
        <v>20440</v>
      </c>
      <c r="D10" s="75">
        <f>'[1]2026年度男装汇总分析'!D10</f>
        <v>30070</v>
      </c>
      <c r="E10" s="75">
        <f>'[1]2026年度男装汇总分析'!E10</f>
        <v>33000</v>
      </c>
      <c r="F10" s="75">
        <f>'[1]2026年度男装汇总分析'!F10</f>
        <v>37200</v>
      </c>
      <c r="G10" s="75">
        <f>'[1]2026年度男装汇总分析'!G10</f>
        <v>32100</v>
      </c>
      <c r="H10" s="75">
        <f>'[1]2026年度男装汇总分析'!H10</f>
        <v>33170</v>
      </c>
      <c r="I10" s="75">
        <f>'[1]2026年度男装汇总分析'!I10</f>
        <v>41850</v>
      </c>
      <c r="J10" s="75">
        <f>'[1]2026年度男装汇总分析'!J10</f>
        <v>40500</v>
      </c>
      <c r="K10" s="75">
        <f>'[1]2026年度男装汇总分析'!K10</f>
        <v>40300</v>
      </c>
      <c r="L10" s="75">
        <f>'[1]2026年度男装汇总分析'!L10</f>
        <v>37500</v>
      </c>
      <c r="M10" s="75">
        <f>'[1]2026年度男装汇总分析'!M10</f>
        <v>38750</v>
      </c>
      <c r="N10" s="75">
        <f>'[1]2026年度男装汇总分析'!N10</f>
        <v>21700</v>
      </c>
      <c r="O10" s="30">
        <f>SUM(C10:N10)</f>
        <v>406580</v>
      </c>
      <c r="P10" s="81"/>
      <c r="Q10" s="81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7" customFormat="1" spans="1:83">
      <c r="A11" s="73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8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7" customFormat="1" spans="1:83">
      <c r="A12" s="73">
        <f>'[1]特别隐藏版（勿动、勿看）'!A12</f>
        <v>0</v>
      </c>
      <c r="B12" s="70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7" customFormat="1" spans="1:83">
      <c r="A13" s="73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7" customFormat="1" spans="1:83">
      <c r="A14" s="73">
        <f>'[1]特别隐藏版（勿动、勿看）'!A14</f>
        <v>0</v>
      </c>
      <c r="B14" s="70" t="str">
        <f>'[1]特别隐藏版（勿动、勿看）'!B14</f>
        <v>实销目标</v>
      </c>
      <c r="C14" s="75">
        <f>'[1]2026年度男装汇总分析'!C14</f>
        <v>6897.35764350642</v>
      </c>
      <c r="D14" s="75">
        <f>'[1]2026年度男装汇总分析'!D14</f>
        <v>10111.6874213955</v>
      </c>
      <c r="E14" s="75">
        <f>'[1]2026年度男装汇总分析'!E14</f>
        <v>11086.2267444023</v>
      </c>
      <c r="F14" s="75">
        <f>'[1]2026年度男装汇总分析'!F14</f>
        <v>12472.0552607735</v>
      </c>
      <c r="G14" s="75">
        <f>'[1]2026年度男装汇总分析'!G14</f>
        <v>10728.7647155245</v>
      </c>
      <c r="H14" s="75">
        <f>'[1]2026年度男装汇总分析'!H14</f>
        <v>11086.390206042</v>
      </c>
      <c r="I14" s="75">
        <f>'[1]2026年度男装汇总分析'!I14</f>
        <v>13984.8055722318</v>
      </c>
      <c r="J14" s="75">
        <f>'[1]2026年度男装汇总分析'!J14</f>
        <v>13533.6828118373</v>
      </c>
      <c r="K14" s="75">
        <f>'[1]2026年度男装汇总分析'!K14</f>
        <v>13410.0089029832</v>
      </c>
      <c r="L14" s="75">
        <f>'[1]2026年度男装汇总分析'!L14</f>
        <v>12490.9058483349</v>
      </c>
      <c r="M14" s="75">
        <f>'[1]2026年度男装汇总分析'!M14</f>
        <v>12907.2693766127</v>
      </c>
      <c r="N14" s="75">
        <f>'[1]2026年度男装汇总分析'!N14</f>
        <v>7213.14826393716</v>
      </c>
      <c r="O14" s="36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7" customFormat="1" spans="1:83">
      <c r="A15" s="73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8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7" customFormat="1" spans="1:83">
      <c r="A16" s="73">
        <f>'[1]特别隐藏版（勿动、勿看）'!A16</f>
        <v>0</v>
      </c>
      <c r="B16" s="70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7" customFormat="1" spans="1:83">
      <c r="A17" s="73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69" customFormat="1" spans="1:83">
      <c r="A18" s="76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7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69" customFormat="1" spans="1:83">
      <c r="A19" s="76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8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7" customFormat="1" spans="1:83">
      <c r="A20" s="73">
        <f>'[1]特别隐藏版（勿动、勿看）'!A20</f>
        <v>0</v>
      </c>
      <c r="B20" s="70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7" customFormat="1" spans="1:83">
      <c r="A21" s="73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7" customFormat="1" spans="1:83">
      <c r="A22" s="73">
        <f>'[1]特别隐藏版（勿动、勿看）'!A22</f>
        <v>0</v>
      </c>
      <c r="B22" s="70" t="str">
        <f>'[1]特别隐藏版（勿动、勿看）'!B22</f>
        <v>GSV目标</v>
      </c>
      <c r="C22" s="77">
        <f>'[1]2026年度男装汇总分析'!C22</f>
        <v>2071988.2707281</v>
      </c>
      <c r="D22" s="77">
        <f>'[1]2026年度男装汇总分析'!D22</f>
        <v>3065494.8716562</v>
      </c>
      <c r="E22" s="77">
        <f>'[1]2026年度男装汇总分析'!E22</f>
        <v>3382589.69538433</v>
      </c>
      <c r="F22" s="77">
        <f>'[1]2026年度男装汇总分析'!F22</f>
        <v>3806750.1236496</v>
      </c>
      <c r="G22" s="77">
        <f>'[1]2026年度男装汇总分析'!G22</f>
        <v>3292988.21374131</v>
      </c>
      <c r="H22" s="77">
        <f>'[1]2026年度男装汇总分析'!H22</f>
        <v>3402754.48753268</v>
      </c>
      <c r="I22" s="77">
        <f>'[1]2026年度男装汇总分析'!I22</f>
        <v>4292527.19658247</v>
      </c>
      <c r="J22" s="77">
        <f>'[1]2026年度男装汇总分析'!J22</f>
        <v>4154058.57733787</v>
      </c>
      <c r="K22" s="77">
        <f>'[1]2026年度男装汇总分析'!K22</f>
        <v>4141264.16837033</v>
      </c>
      <c r="L22" s="77">
        <f>'[1]2026年度男装汇总分析'!L22</f>
        <v>3848268.19958426</v>
      </c>
      <c r="M22" s="77">
        <f>'[1]2026年度男装汇总分析'!M22</f>
        <v>3976543.80623707</v>
      </c>
      <c r="N22" s="77">
        <f>'[1]2026年度男装汇总分析'!N22</f>
        <v>2226335.80339472</v>
      </c>
      <c r="O22" s="28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7" customFormat="1" spans="1:83">
      <c r="A23" s="73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8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7" customFormat="1" spans="1:83">
      <c r="A24" s="73">
        <f>'[1]特别隐藏版（勿动、勿看）'!A24</f>
        <v>0</v>
      </c>
      <c r="B24" s="70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7" customFormat="1" spans="1:83">
      <c r="A25" s="73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7" customFormat="1" spans="1:83">
      <c r="A26" s="73">
        <f>'[1]特别隐藏版（勿动、勿看）'!A26</f>
        <v>0</v>
      </c>
      <c r="B26" s="70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7" customFormat="1" spans="1:83">
      <c r="A27" s="73">
        <f>'[1]特别隐藏版（勿动、勿看）'!A27</f>
        <v>0</v>
      </c>
      <c r="B27" s="70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7" customFormat="1" spans="1:83">
      <c r="A28" s="73">
        <f>'[1]特别隐藏版（勿动、勿看）'!A28</f>
        <v>0</v>
      </c>
      <c r="B28" s="70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7" customFormat="1" spans="1:83">
      <c r="A29" s="78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7" customFormat="1" spans="1:83">
      <c r="A30" s="72" t="str">
        <f>'[1]特别隐藏版（勿动、勿看）'!A30</f>
        <v>LXTF1店</v>
      </c>
      <c r="B30" s="77" t="str">
        <f>'[1]特别隐藏版（勿动、勿看）'!B30</f>
        <v>实际利润（人民币）</v>
      </c>
      <c r="C30" s="77">
        <f>'[1]2026年度男装汇总分析'!C30</f>
        <v>95377.04</v>
      </c>
      <c r="D30" s="77">
        <f>'[1]2026年度男装汇总分析'!D30</f>
        <v>119066.85</v>
      </c>
      <c r="E30" s="77">
        <f>'[1]2026年度男装汇总分析'!E30</f>
        <v>30031.35</v>
      </c>
      <c r="F30" s="77">
        <f>'[1]2026年度男装汇总分析'!F30</f>
        <v>51410.92</v>
      </c>
      <c r="G30" s="77">
        <f>'[1]2026年度男装汇总分析'!G30</f>
        <v>60265.923414952</v>
      </c>
      <c r="H30" s="77">
        <f>'[1]2026年度男装汇总分析'!H30</f>
        <v>52989.6232218248</v>
      </c>
      <c r="I30" s="77">
        <f>'[1]2026年度男装汇总分析'!I30</f>
        <v>0</v>
      </c>
      <c r="J30" s="77">
        <f>'[1]2026年度男装汇总分析'!J30</f>
        <v>0</v>
      </c>
      <c r="K30" s="77">
        <f>'[1]2026年度男装汇总分析'!K30</f>
        <v>0</v>
      </c>
      <c r="L30" s="77">
        <f>'[1]2026年度男装汇总分析'!L30</f>
        <v>0</v>
      </c>
      <c r="M30" s="77">
        <f>'[1]2026年度男装汇总分析'!M30</f>
        <v>0</v>
      </c>
      <c r="N30" s="77">
        <f>'[1]2026年度男装汇总分析'!N30</f>
        <v>0</v>
      </c>
      <c r="O30" s="21">
        <f>SUM(C30:N30)</f>
        <v>409141.706636777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7" customFormat="1" spans="1:83">
      <c r="A31" s="73">
        <f>'[1]特别隐藏版（勿动、勿看）'!A31</f>
        <v>0</v>
      </c>
      <c r="B31" s="70" t="str">
        <f>'[1]特别隐藏版（勿动、勿看）'!B31</f>
        <v>销量完成</v>
      </c>
      <c r="C31" s="70">
        <f>'[1]2026年度男装汇总分析'!C31</f>
        <v>7692</v>
      </c>
      <c r="D31" s="70">
        <f>'[1]2026年度男装汇总分析'!D31</f>
        <v>11912</v>
      </c>
      <c r="E31" s="70">
        <f>'[1]2026年度男装汇总分析'!E31</f>
        <v>7904</v>
      </c>
      <c r="F31" s="70">
        <f>'[1]2026年度男装汇总分析'!F31</f>
        <v>8430</v>
      </c>
      <c r="G31" s="70">
        <f>'[1]2026年度男装汇总分析'!G31</f>
        <v>5569</v>
      </c>
      <c r="H31" s="70">
        <f>'[1]2026年度男装汇总分析'!H31</f>
        <v>3456</v>
      </c>
      <c r="I31" s="70">
        <f>'[1]2026年度男装汇总分析'!I31</f>
        <v>0</v>
      </c>
      <c r="J31" s="70">
        <f>'[1]2026年度男装汇总分析'!J31</f>
        <v>0</v>
      </c>
      <c r="K31" s="70">
        <f>'[1]2026年度男装汇总分析'!K31</f>
        <v>0</v>
      </c>
      <c r="L31" s="70">
        <f>'[1]2026年度男装汇总分析'!L31</f>
        <v>0</v>
      </c>
      <c r="M31" s="70">
        <f>'[1]2026年度男装汇总分析'!M31</f>
        <v>0</v>
      </c>
      <c r="N31" s="70">
        <f>'[1]2026年度男装汇总分析'!N31</f>
        <v>0</v>
      </c>
      <c r="O31" s="1">
        <f>SUM(C31:N31)</f>
        <v>44963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7" customFormat="1" spans="1:83">
      <c r="A32" s="73">
        <f>'[1]特别隐藏版（勿动、勿看）'!A32</f>
        <v>0</v>
      </c>
      <c r="B32" s="70" t="str">
        <f>'[1]特别隐藏版（勿动、勿看）'!B32</f>
        <v>实销完成</v>
      </c>
      <c r="C32" s="70">
        <f>'[1]2026年度男装汇总分析'!C32</f>
        <v>2167</v>
      </c>
      <c r="D32" s="70">
        <f>'[1]2026年度男装汇总分析'!D32</f>
        <v>3045</v>
      </c>
      <c r="E32" s="70">
        <f>'[1]2026年度男装汇总分析'!E32</f>
        <v>1899</v>
      </c>
      <c r="F32" s="70">
        <f>'[1]2026年度男装汇总分析'!F32</f>
        <v>2131</v>
      </c>
      <c r="G32" s="70">
        <f>'[1]2026年度男装汇总分析'!G32</f>
        <v>1563</v>
      </c>
      <c r="H32" s="70">
        <f>'[1]2026年度男装汇总分析'!H32</f>
        <v>1005</v>
      </c>
      <c r="I32" s="70">
        <f>'[1]2026年度男装汇总分析'!I32</f>
        <v>0</v>
      </c>
      <c r="J32" s="70">
        <f>'[1]2026年度男装汇总分析'!J32</f>
        <v>0</v>
      </c>
      <c r="K32" s="70">
        <f>'[1]2026年度男装汇总分析'!K32</f>
        <v>0</v>
      </c>
      <c r="L32" s="70">
        <f>'[1]2026年度男装汇总分析'!L32</f>
        <v>0</v>
      </c>
      <c r="M32" s="70">
        <f>'[1]2026年度男装汇总分析'!M32</f>
        <v>0</v>
      </c>
      <c r="N32" s="70">
        <f>'[1]2026年度男装汇总分析'!N32</f>
        <v>0</v>
      </c>
      <c r="O32" s="1">
        <f>SUM(C32:N32)</f>
        <v>11810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69" customFormat="1" spans="1:83">
      <c r="A33" s="76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3">
        <f t="shared" ref="O33:O42" si="5">SUM(C33:N33)</f>
        <v>195345555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7" customFormat="1" spans="1:83">
      <c r="A34" s="73">
        <f>'[1]特别隐藏版（勿动、勿看）'!A34</f>
        <v>0</v>
      </c>
      <c r="B34" s="77" t="str">
        <f>'[1]特别隐藏版（勿动、勿看）'!B34</f>
        <v>GSV完成</v>
      </c>
      <c r="C34" s="77">
        <f>'[1]2026年度男装汇总分析'!C34</f>
        <v>784712.64</v>
      </c>
      <c r="D34" s="77">
        <f>'[1]2026年度男装汇总分析'!D34</f>
        <v>1179892.49</v>
      </c>
      <c r="E34" s="77">
        <f>'[1]2026年度男装汇总分析'!E34</f>
        <v>724171.24</v>
      </c>
      <c r="F34" s="77">
        <f>'[1]2026年度男装汇总分析'!F34</f>
        <v>833536.12</v>
      </c>
      <c r="G34" s="77">
        <f>'[1]2026年度男装汇总分析'!G34</f>
        <v>635264.5292</v>
      </c>
      <c r="H34" s="77">
        <f>'[1]2026年度男装汇总分析'!H34</f>
        <v>380260.5047</v>
      </c>
      <c r="I34" s="77">
        <f>'[1]2026年度男装汇总分析'!I34</f>
        <v>0</v>
      </c>
      <c r="J34" s="77">
        <f>'[1]2026年度男装汇总分析'!J34</f>
        <v>0</v>
      </c>
      <c r="K34" s="77">
        <f>'[1]2026年度男装汇总分析'!K34</f>
        <v>0</v>
      </c>
      <c r="L34" s="77">
        <f>'[1]2026年度男装汇总分析'!L34</f>
        <v>0</v>
      </c>
      <c r="M34" s="77">
        <f>'[1]2026年度男装汇总分析'!M34</f>
        <v>0</v>
      </c>
      <c r="N34" s="77">
        <f>'[1]2026年度男装汇总分析'!N34</f>
        <v>0</v>
      </c>
      <c r="O34" s="21">
        <f t="shared" si="5"/>
        <v>4537837.5239</v>
      </c>
      <c r="Q34" s="68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7" customFormat="1" spans="1:83">
      <c r="A35" s="73">
        <f>'[1]特别隐藏版（勿动、勿看）'!A35</f>
        <v>0</v>
      </c>
      <c r="B35" s="70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7" customFormat="1" spans="1:83">
      <c r="A36" s="73">
        <f>'[1]特别隐藏版（勿动、勿看）'!A36</f>
        <v>0</v>
      </c>
      <c r="B36" s="70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7" customFormat="1" spans="1:83">
      <c r="A37" s="78">
        <f>'[1]特别隐藏版（勿动、勿看）'!A37</f>
        <v>0</v>
      </c>
      <c r="B37" s="70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7" customFormat="1" spans="1:15">
      <c r="A38" s="72" t="str">
        <f>'[1]特别隐藏版（勿动、勿看）'!A38</f>
        <v>LXTF2店</v>
      </c>
      <c r="B38" s="77" t="str">
        <f>'[1]特别隐藏版（勿动、勿看）'!B38</f>
        <v>实际利润（人民币）</v>
      </c>
      <c r="C38" s="77">
        <f>'[1]2026年度男装汇总分析'!C38</f>
        <v>87149.73</v>
      </c>
      <c r="D38" s="77">
        <f>'[1]2026年度男装汇总分析'!D38</f>
        <v>219445.1</v>
      </c>
      <c r="E38" s="77">
        <f>'[1]2026年度男装汇总分析'!E38</f>
        <v>53171.99</v>
      </c>
      <c r="F38" s="77">
        <f>'[1]2026年度男装汇总分析'!F38</f>
        <v>99083.11</v>
      </c>
      <c r="G38" s="77">
        <f>'[1]2026年度男装汇总分析'!G38</f>
        <v>105724.500133215</v>
      </c>
      <c r="H38" s="77">
        <f>'[1]2026年度男装汇总分析'!H38</f>
        <v>39211.2494320044</v>
      </c>
      <c r="I38" s="77">
        <f>'[1]2026年度男装汇总分析'!I38</f>
        <v>0</v>
      </c>
      <c r="J38" s="77">
        <f>'[1]2026年度男装汇总分析'!J38</f>
        <v>0</v>
      </c>
      <c r="K38" s="77">
        <f>'[1]2026年度男装汇总分析'!K38</f>
        <v>0</v>
      </c>
      <c r="L38" s="77">
        <f>'[1]2026年度男装汇总分析'!L38</f>
        <v>0</v>
      </c>
      <c r="M38" s="77">
        <f>'[1]2026年度男装汇总分析'!M38</f>
        <v>0</v>
      </c>
      <c r="N38" s="77">
        <f>'[1]2026年度男装汇总分析'!N38</f>
        <v>0</v>
      </c>
      <c r="O38" s="21">
        <f t="shared" si="5"/>
        <v>603785.679565219</v>
      </c>
    </row>
    <row r="39" s="67" customFormat="1" spans="1:15">
      <c r="A39" s="73">
        <f>'[1]特别隐藏版（勿动、勿看）'!A39</f>
        <v>0</v>
      </c>
      <c r="B39" s="70" t="str">
        <f>'[1]特别隐藏版（勿动、勿看）'!B39</f>
        <v>销量完成</v>
      </c>
      <c r="C39" s="70">
        <f>'[1]2026年度男装汇总分析'!C39</f>
        <v>6846</v>
      </c>
      <c r="D39" s="70">
        <f>'[1]2026年度男装汇总分析'!D39</f>
        <v>12313</v>
      </c>
      <c r="E39" s="70">
        <f>'[1]2026年度男装汇总分析'!E39</f>
        <v>6346</v>
      </c>
      <c r="F39" s="70">
        <f>'[1]2026年度男装汇总分析'!F39</f>
        <v>8877</v>
      </c>
      <c r="G39" s="70">
        <f>'[1]2026年度男装汇总分析'!G39</f>
        <v>5984</v>
      </c>
      <c r="H39" s="70">
        <f>'[1]2026年度男装汇总分析'!H39</f>
        <v>2836</v>
      </c>
      <c r="I39" s="70">
        <f>'[1]2026年度男装汇总分析'!I39</f>
        <v>0</v>
      </c>
      <c r="J39" s="70">
        <f>'[1]2026年度男装汇总分析'!J39</f>
        <v>0</v>
      </c>
      <c r="K39" s="70">
        <f>'[1]2026年度男装汇总分析'!K39</f>
        <v>0</v>
      </c>
      <c r="L39" s="70">
        <f>'[1]2026年度男装汇总分析'!L39</f>
        <v>0</v>
      </c>
      <c r="M39" s="70">
        <f>'[1]2026年度男装汇总分析'!M39</f>
        <v>0</v>
      </c>
      <c r="N39" s="70">
        <f>'[1]2026年度男装汇总分析'!N39</f>
        <v>0</v>
      </c>
      <c r="O39" s="1">
        <f t="shared" si="5"/>
        <v>43202</v>
      </c>
    </row>
    <row r="40" s="67" customFormat="1" ht="17.4" spans="1:83">
      <c r="A40" s="73">
        <f>'[1]特别隐藏版（勿动、勿看）'!A40</f>
        <v>0</v>
      </c>
      <c r="B40" s="70" t="str">
        <f>'[1]特别隐藏版（勿动、勿看）'!B40</f>
        <v>实销完成</v>
      </c>
      <c r="C40" s="70">
        <f>'[1]2026年度男装汇总分析'!C40</f>
        <v>2045</v>
      </c>
      <c r="D40" s="70">
        <f>'[1]2026年度男装汇总分析'!D40</f>
        <v>3425</v>
      </c>
      <c r="E40" s="70">
        <f>'[1]2026年度男装汇总分析'!E40</f>
        <v>1778</v>
      </c>
      <c r="F40" s="70">
        <f>'[1]2026年度男装汇总分析'!F40</f>
        <v>2609</v>
      </c>
      <c r="G40" s="70">
        <f>'[1]2026年度男装汇总分析'!G40</f>
        <v>1837</v>
      </c>
      <c r="H40" s="70">
        <f>'[1]2026年度男装汇总分析'!H40</f>
        <v>886</v>
      </c>
      <c r="I40" s="70">
        <f>'[1]2026年度男装汇总分析'!I40</f>
        <v>0</v>
      </c>
      <c r="J40" s="70">
        <f>'[1]2026年度男装汇总分析'!J40</f>
        <v>0</v>
      </c>
      <c r="K40" s="70">
        <f>'[1]2026年度男装汇总分析'!K40</f>
        <v>0</v>
      </c>
      <c r="L40" s="70">
        <f>'[1]2026年度男装汇总分析'!L40</f>
        <v>0</v>
      </c>
      <c r="M40" s="70">
        <f>'[1]2026年度男装汇总分析'!M40</f>
        <v>0</v>
      </c>
      <c r="N40" s="70">
        <f>'[1]2026年度男装汇总分析'!N40</f>
        <v>0</v>
      </c>
      <c r="O40" s="1">
        <f t="shared" si="5"/>
        <v>12580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0"/>
      <c r="CD40" s="70"/>
      <c r="CE40" s="113"/>
    </row>
    <row r="41" s="67" customFormat="1" spans="1:83">
      <c r="A41" s="73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3">
        <f t="shared" si="5"/>
        <v>193333269</v>
      </c>
      <c r="Q41" s="69"/>
      <c r="BP41" s="70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70"/>
      <c r="CD41" s="70"/>
      <c r="CE41" s="113"/>
    </row>
    <row r="42" s="67" customFormat="1" spans="1:83">
      <c r="A42" s="73">
        <f>'[1]特别隐藏版（勿动、勿看）'!A42</f>
        <v>0</v>
      </c>
      <c r="B42" s="77" t="str">
        <f>'[1]特别隐藏版（勿动、勿看）'!B42</f>
        <v>GSV完成</v>
      </c>
      <c r="C42" s="77">
        <f>'[1]2026年度男装汇总分析'!C42</f>
        <v>724801.18</v>
      </c>
      <c r="D42" s="77">
        <f>'[1]2026年度男装汇总分析'!D42</f>
        <v>1376012.34</v>
      </c>
      <c r="E42" s="77">
        <f>'[1]2026年度男装汇总分析'!E42</f>
        <v>729031.55</v>
      </c>
      <c r="F42" s="77">
        <f>'[1]2026年度男装汇总分析'!F42</f>
        <v>1044149.57</v>
      </c>
      <c r="G42" s="77">
        <f>'[1]2026年度男装汇总分析'!G42</f>
        <v>766748.3629</v>
      </c>
      <c r="H42" s="77">
        <f>'[1]2026年度男装汇总分析'!H42</f>
        <v>347084.5159</v>
      </c>
      <c r="I42" s="77">
        <f>'[1]2026年度男装汇总分析'!I42</f>
        <v>0</v>
      </c>
      <c r="J42" s="77">
        <f>'[1]2026年度男装汇总分析'!J42</f>
        <v>0</v>
      </c>
      <c r="K42" s="77">
        <f>'[1]2026年度男装汇总分析'!K42</f>
        <v>0</v>
      </c>
      <c r="L42" s="77">
        <f>'[1]2026年度男装汇总分析'!L42</f>
        <v>0</v>
      </c>
      <c r="M42" s="77">
        <f>'[1]2026年度男装汇总分析'!M42</f>
        <v>0</v>
      </c>
      <c r="N42" s="77">
        <f>'[1]2026年度男装汇总分析'!N42</f>
        <v>0</v>
      </c>
      <c r="O42" s="21">
        <f t="shared" si="5"/>
        <v>4987827.5188</v>
      </c>
      <c r="Q42" s="68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113"/>
    </row>
    <row r="43" s="67" customFormat="1" spans="1:83">
      <c r="A43" s="73">
        <f>'[1]特别隐藏版（勿动、勿看）'!A43</f>
        <v>0</v>
      </c>
      <c r="B43" s="70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113"/>
    </row>
    <row r="44" s="67" customFormat="1" spans="1:83">
      <c r="A44" s="73">
        <f>'[1]特别隐藏版（勿动、勿看）'!A44</f>
        <v>0</v>
      </c>
      <c r="B44" s="70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70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0"/>
      <c r="CD44" s="70"/>
      <c r="CE44" s="113"/>
    </row>
    <row r="45" s="67" customFormat="1" spans="1:82">
      <c r="A45" s="78">
        <f>'[1]特别隐藏版（勿动、勿看）'!A45</f>
        <v>0</v>
      </c>
      <c r="B45" s="70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7" customFormat="1" spans="1:82">
      <c r="A46" s="72" t="str">
        <f>'[1]特别隐藏版（勿动、勿看）'!A46</f>
        <v>LXTF4店</v>
      </c>
      <c r="B46" s="77" t="str">
        <f>'[1]特别隐藏版（勿动、勿看）'!B46</f>
        <v>实际利润（人民币）</v>
      </c>
      <c r="C46" s="77">
        <f>'[1]2026年度男装汇总分析'!C46</f>
        <v>19664.47</v>
      </c>
      <c r="D46" s="77">
        <f>'[1]2026年度男装汇总分析'!D46</f>
        <v>40558.93</v>
      </c>
      <c r="E46" s="77">
        <f>'[1]2026年度男装汇总分析'!E46</f>
        <v>3358.53</v>
      </c>
      <c r="F46" s="77">
        <f>'[1]2026年度男装汇总分析'!F46</f>
        <v>80999.07</v>
      </c>
      <c r="G46" s="77">
        <f>'[1]2026年度男装汇总分析'!G46</f>
        <v>54454.5906640612</v>
      </c>
      <c r="H46" s="77">
        <f>'[1]2026年度男装汇总分析'!H46</f>
        <v>22309.7621460236</v>
      </c>
      <c r="I46" s="77">
        <f>'[1]2026年度男装汇总分析'!I46</f>
        <v>0</v>
      </c>
      <c r="J46" s="77">
        <f>'[1]2026年度男装汇总分析'!J46</f>
        <v>0</v>
      </c>
      <c r="K46" s="77">
        <f>'[1]2026年度男装汇总分析'!K46</f>
        <v>0</v>
      </c>
      <c r="L46" s="77">
        <f>'[1]2026年度男装汇总分析'!L46</f>
        <v>0</v>
      </c>
      <c r="M46" s="77">
        <f>'[1]2026年度男装汇总分析'!M46</f>
        <v>0</v>
      </c>
      <c r="N46" s="77">
        <f>'[1]2026年度男装汇总分析'!N46</f>
        <v>0</v>
      </c>
      <c r="O46" s="21">
        <f t="shared" ref="O46:O50" si="12">SUM(C46:N46)</f>
        <v>221345.352810085</v>
      </c>
      <c r="BP46" s="70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114"/>
      <c r="CD46" s="115"/>
    </row>
    <row r="47" s="67" customFormat="1" spans="1:82">
      <c r="A47" s="73">
        <f>'[1]特别隐藏版（勿动、勿看）'!A47</f>
        <v>0</v>
      </c>
      <c r="B47" s="70" t="str">
        <f>'[1]特别隐藏版（勿动、勿看）'!B47</f>
        <v>销量完成</v>
      </c>
      <c r="C47" s="70">
        <f>'[1]2026年度男装汇总分析'!C47</f>
        <v>2218</v>
      </c>
      <c r="D47" s="70">
        <f>'[1]2026年度男装汇总分析'!D47</f>
        <v>5628</v>
      </c>
      <c r="E47" s="70">
        <f>'[1]2026年度男装汇总分析'!E47</f>
        <v>3837</v>
      </c>
      <c r="F47" s="70">
        <f>'[1]2026年度男装汇总分析'!F47</f>
        <v>6433</v>
      </c>
      <c r="G47" s="70">
        <f>'[1]2026年度男装汇总分析'!G47</f>
        <v>3603</v>
      </c>
      <c r="H47" s="70">
        <f>'[1]2026年度男装汇总分析'!H47</f>
        <v>1598</v>
      </c>
      <c r="I47" s="70">
        <f>'[1]2026年度男装汇总分析'!I47</f>
        <v>0</v>
      </c>
      <c r="J47" s="70">
        <f>'[1]2026年度男装汇总分析'!J47</f>
        <v>0</v>
      </c>
      <c r="K47" s="70">
        <f>'[1]2026年度男装汇总分析'!K47</f>
        <v>0</v>
      </c>
      <c r="L47" s="70">
        <f>'[1]2026年度男装汇总分析'!L47</f>
        <v>0</v>
      </c>
      <c r="M47" s="70">
        <f>'[1]2026年度男装汇总分析'!M47</f>
        <v>0</v>
      </c>
      <c r="N47" s="70">
        <f>'[1]2026年度男装汇总分析'!N47</f>
        <v>0</v>
      </c>
      <c r="O47" s="1">
        <f t="shared" si="12"/>
        <v>23317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7" customFormat="1" spans="1:82">
      <c r="A48" s="73">
        <f>'[1]特别隐藏版（勿动、勿看）'!A48</f>
        <v>0</v>
      </c>
      <c r="B48" s="70" t="str">
        <f>'[1]特别隐藏版（勿动、勿看）'!B48</f>
        <v>实销完成</v>
      </c>
      <c r="C48" s="70">
        <f>'[1]2026年度男装汇总分析'!C48</f>
        <v>652</v>
      </c>
      <c r="D48" s="70">
        <f>'[1]2026年度男装汇总分析'!D48</f>
        <v>1522</v>
      </c>
      <c r="E48" s="70">
        <f>'[1]2026年度男装汇总分析'!E48</f>
        <v>942</v>
      </c>
      <c r="F48" s="70">
        <f>'[1]2026年度男装汇总分析'!F48</f>
        <v>1816</v>
      </c>
      <c r="G48" s="70">
        <f>'[1]2026年度男装汇总分析'!G48</f>
        <v>1074</v>
      </c>
      <c r="H48" s="70">
        <f>'[1]2026年度男装汇总分析'!H48</f>
        <v>528</v>
      </c>
      <c r="I48" s="70">
        <f>'[1]2026年度男装汇总分析'!I48</f>
        <v>0</v>
      </c>
      <c r="J48" s="70">
        <f>'[1]2026年度男装汇总分析'!J48</f>
        <v>0</v>
      </c>
      <c r="K48" s="70">
        <f>'[1]2026年度男装汇总分析'!K48</f>
        <v>0</v>
      </c>
      <c r="L48" s="70">
        <f>'[1]2026年度男装汇总分析'!L48</f>
        <v>0</v>
      </c>
      <c r="M48" s="70">
        <f>'[1]2026年度男装汇总分析'!M48</f>
        <v>0</v>
      </c>
      <c r="N48" s="70">
        <f>'[1]2026年度男装汇总分析'!N48</f>
        <v>0</v>
      </c>
      <c r="O48" s="1">
        <f t="shared" si="12"/>
        <v>6534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7" customFormat="1" spans="1:82">
      <c r="A49" s="73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3">
        <f t="shared" si="12"/>
        <v>97793557</v>
      </c>
      <c r="Q49" s="69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7" customFormat="1" spans="1:82">
      <c r="A50" s="73">
        <f>'[1]特别隐藏版（勿动、勿看）'!A50</f>
        <v>0</v>
      </c>
      <c r="B50" s="77" t="str">
        <f>'[1]特别隐藏版（勿动、勿看）'!B50</f>
        <v>GSV完成</v>
      </c>
      <c r="C50" s="77">
        <f>'[1]2026年度男装汇总分析'!C50</f>
        <v>243663.93</v>
      </c>
      <c r="D50" s="77">
        <f>'[1]2026年度男装汇总分析'!D50</f>
        <v>559323.77</v>
      </c>
      <c r="E50" s="77">
        <f>'[1]2026年度男装汇总分析'!E50</f>
        <v>361220.61</v>
      </c>
      <c r="F50" s="77">
        <f>'[1]2026年度男装汇总分析'!F50</f>
        <v>658949.99</v>
      </c>
      <c r="G50" s="77">
        <f>'[1]2026年度男装汇总分析'!G50</f>
        <v>407799.909</v>
      </c>
      <c r="H50" s="77">
        <f>'[1]2026年度男装汇总分析'!H50</f>
        <v>191132.8153</v>
      </c>
      <c r="I50" s="77">
        <f>'[1]2026年度男装汇总分析'!I50</f>
        <v>0</v>
      </c>
      <c r="J50" s="77">
        <f>'[1]2026年度男装汇总分析'!J50</f>
        <v>0</v>
      </c>
      <c r="K50" s="77">
        <f>'[1]2026年度男装汇总分析'!K50</f>
        <v>0</v>
      </c>
      <c r="L50" s="77">
        <f>'[1]2026年度男装汇总分析'!L50</f>
        <v>0</v>
      </c>
      <c r="M50" s="77">
        <f>'[1]2026年度男装汇总分析'!M50</f>
        <v>0</v>
      </c>
      <c r="N50" s="77">
        <f>'[1]2026年度男装汇总分析'!N50</f>
        <v>0</v>
      </c>
      <c r="O50" s="21">
        <f t="shared" si="12"/>
        <v>2422091.0243</v>
      </c>
      <c r="Q50" s="68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7" customFormat="1" spans="1:80">
      <c r="A51" s="73">
        <f>'[1]特别隐藏版（勿动、勿看）'!A51</f>
        <v>0</v>
      </c>
      <c r="B51" s="70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7" customFormat="1" spans="1:15">
      <c r="A52" s="73">
        <f>'[1]特别隐藏版（勿动、勿看）'!A52</f>
        <v>0</v>
      </c>
      <c r="B52" s="70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7" customFormat="1" spans="1:15">
      <c r="A53" s="78">
        <f>'[1]特别隐藏版（勿动、勿看）'!A53</f>
        <v>0</v>
      </c>
      <c r="B53" s="70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7" customFormat="1" spans="1:15">
      <c r="A54" s="72" t="str">
        <f>'[1]特别隐藏版（勿动、勿看）'!A54</f>
        <v>MYTF1店</v>
      </c>
      <c r="B54" s="77" t="str">
        <f>'[1]特别隐藏版（勿动、勿看）'!B54</f>
        <v>实际利润（人民币）</v>
      </c>
      <c r="C54" s="77">
        <f>'[1]2026年度男装汇总分析'!C54</f>
        <v>99524.69</v>
      </c>
      <c r="D54" s="77">
        <f>'[1]2026年度男装汇总分析'!D54</f>
        <v>105771.87</v>
      </c>
      <c r="E54" s="77">
        <f>'[1]2026年度男装汇总分析'!E54</f>
        <v>62174.49</v>
      </c>
      <c r="F54" s="77">
        <f>'[1]2026年度男装汇总分析'!F54</f>
        <v>53475.37</v>
      </c>
      <c r="G54" s="77">
        <f>'[1]2026年度男装汇总分析'!G54</f>
        <v>48725.1896029472</v>
      </c>
      <c r="H54" s="77">
        <f>'[1]2026年度男装汇总分析'!H54</f>
        <v>29961.5151456268</v>
      </c>
      <c r="I54" s="77">
        <f>'[1]2026年度男装汇总分析'!I54</f>
        <v>0</v>
      </c>
      <c r="J54" s="77">
        <f>'[1]2026年度男装汇总分析'!J54</f>
        <v>0</v>
      </c>
      <c r="K54" s="77">
        <f>'[1]2026年度男装汇总分析'!K54</f>
        <v>0</v>
      </c>
      <c r="L54" s="77">
        <f>'[1]2026年度男装汇总分析'!L54</f>
        <v>0</v>
      </c>
      <c r="M54" s="77">
        <f>'[1]2026年度男装汇总分析'!M54</f>
        <v>0</v>
      </c>
      <c r="N54" s="77">
        <f>'[1]2026年度男装汇总分析'!N54</f>
        <v>0</v>
      </c>
      <c r="O54" s="21">
        <f t="shared" ref="O54:O58" si="16">SUM(C54:N54)</f>
        <v>399633.124748574</v>
      </c>
    </row>
    <row r="55" s="67" customFormat="1" spans="1:15">
      <c r="A55" s="73">
        <f>'[1]特别隐藏版（勿动、勿看）'!A55</f>
        <v>0</v>
      </c>
      <c r="B55" s="70" t="str">
        <f>'[1]特别隐藏版（勿动、勿看）'!B55</f>
        <v>销量完成</v>
      </c>
      <c r="C55" s="70">
        <f>'[1]2026年度男装汇总分析'!C55</f>
        <v>3988</v>
      </c>
      <c r="D55" s="70">
        <f>'[1]2026年度男装汇总分析'!D55</f>
        <v>5239</v>
      </c>
      <c r="E55" s="70">
        <f>'[1]2026年度男装汇总分析'!E55</f>
        <v>3137</v>
      </c>
      <c r="F55" s="70">
        <f>'[1]2026年度男装汇总分析'!F55</f>
        <v>3410</v>
      </c>
      <c r="G55" s="70">
        <f>'[1]2026年度男装汇总分析'!G55</f>
        <v>1803</v>
      </c>
      <c r="H55" s="70">
        <f>'[1]2026年度男装汇总分析'!H55</f>
        <v>986</v>
      </c>
      <c r="I55" s="70">
        <f>'[1]2026年度男装汇总分析'!I55</f>
        <v>0</v>
      </c>
      <c r="J55" s="70">
        <f>'[1]2026年度男装汇总分析'!J55</f>
        <v>0</v>
      </c>
      <c r="K55" s="70">
        <f>'[1]2026年度男装汇总分析'!K55</f>
        <v>0</v>
      </c>
      <c r="L55" s="70">
        <f>'[1]2026年度男装汇总分析'!L55</f>
        <v>0</v>
      </c>
      <c r="M55" s="70">
        <f>'[1]2026年度男装汇总分析'!M55</f>
        <v>0</v>
      </c>
      <c r="N55" s="70">
        <f>'[1]2026年度男装汇总分析'!N55</f>
        <v>0</v>
      </c>
      <c r="O55" s="1">
        <f t="shared" si="16"/>
        <v>18563</v>
      </c>
    </row>
    <row r="56" s="67" customFormat="1" spans="1:15">
      <c r="A56" s="73">
        <f>'[1]特别隐藏版（勿动、勿看）'!A56</f>
        <v>0</v>
      </c>
      <c r="B56" s="70" t="str">
        <f>'[1]特别隐藏版（勿动、勿看）'!B56</f>
        <v>实销完成</v>
      </c>
      <c r="C56" s="70">
        <f>'[1]2026年度男装汇总分析'!C56</f>
        <v>1501</v>
      </c>
      <c r="D56" s="70">
        <f>'[1]2026年度男装汇总分析'!D56</f>
        <v>1832</v>
      </c>
      <c r="E56" s="70">
        <f>'[1]2026年度男装汇总分析'!E56</f>
        <v>1160</v>
      </c>
      <c r="F56" s="70">
        <f>'[1]2026年度男装汇总分析'!F56</f>
        <v>1234</v>
      </c>
      <c r="G56" s="70">
        <f>'[1]2026年度男装汇总分析'!G56</f>
        <v>727</v>
      </c>
      <c r="H56" s="70">
        <f>'[1]2026年度男装汇总分析'!H56</f>
        <v>486</v>
      </c>
      <c r="I56" s="70">
        <f>'[1]2026年度男装汇总分析'!I56</f>
        <v>0</v>
      </c>
      <c r="J56" s="70">
        <f>'[1]2026年度男装汇总分析'!J56</f>
        <v>0</v>
      </c>
      <c r="K56" s="70">
        <f>'[1]2026年度男装汇总分析'!K56</f>
        <v>0</v>
      </c>
      <c r="L56" s="70">
        <f>'[1]2026年度男装汇总分析'!L56</f>
        <v>0</v>
      </c>
      <c r="M56" s="70">
        <f>'[1]2026年度男装汇总分析'!M56</f>
        <v>0</v>
      </c>
      <c r="N56" s="70">
        <f>'[1]2026年度男装汇总分析'!N56</f>
        <v>0</v>
      </c>
      <c r="O56" s="1">
        <f t="shared" si="16"/>
        <v>6940</v>
      </c>
    </row>
    <row r="57" s="67" customFormat="1" spans="1:17">
      <c r="A57" s="73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3">
        <f t="shared" si="16"/>
        <v>77372446</v>
      </c>
      <c r="Q57" s="69"/>
    </row>
    <row r="58" s="67" customFormat="1" spans="1:17">
      <c r="A58" s="73">
        <f>'[1]特别隐藏版（勿动、勿看）'!A58</f>
        <v>0</v>
      </c>
      <c r="B58" s="77" t="str">
        <f>'[1]特别隐藏版（勿动、勿看）'!B58</f>
        <v>GSV完成</v>
      </c>
      <c r="C58" s="77">
        <f>'[1]2026年度男装汇总分析'!C58</f>
        <v>551767.3</v>
      </c>
      <c r="D58" s="77">
        <f>'[1]2026年度男装汇总分析'!D58</f>
        <v>664346.07</v>
      </c>
      <c r="E58" s="77">
        <f>'[1]2026年度男装汇总分析'!E58</f>
        <v>428659.36</v>
      </c>
      <c r="F58" s="77">
        <f>'[1]2026年度男装汇总分析'!F58</f>
        <v>463880.75</v>
      </c>
      <c r="G58" s="77">
        <f>'[1]2026年度男装汇总分析'!G58</f>
        <v>288656.431</v>
      </c>
      <c r="H58" s="77">
        <f>'[1]2026年度男装汇总分析'!H58</f>
        <v>180213.9998</v>
      </c>
      <c r="I58" s="77">
        <f>'[1]2026年度男装汇总分析'!I58</f>
        <v>0</v>
      </c>
      <c r="J58" s="77">
        <f>'[1]2026年度男装汇总分析'!J58</f>
        <v>0</v>
      </c>
      <c r="K58" s="77">
        <f>'[1]2026年度男装汇总分析'!K58</f>
        <v>0</v>
      </c>
      <c r="L58" s="77">
        <f>'[1]2026年度男装汇总分析'!L58</f>
        <v>0</v>
      </c>
      <c r="M58" s="77">
        <f>'[1]2026年度男装汇总分析'!M58</f>
        <v>0</v>
      </c>
      <c r="N58" s="77">
        <f>'[1]2026年度男装汇总分析'!N58</f>
        <v>0</v>
      </c>
      <c r="O58" s="21">
        <f t="shared" si="16"/>
        <v>2577523.9108</v>
      </c>
      <c r="Q58" s="68"/>
    </row>
    <row r="59" s="67" customFormat="1" spans="1:15">
      <c r="A59" s="73">
        <f>'[1]特别隐藏版（勿动、勿看）'!A59</f>
        <v>0</v>
      </c>
      <c r="B59" s="70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7" customFormat="1" spans="1:15">
      <c r="A60" s="73">
        <f>'[1]特别隐藏版（勿动、勿看）'!A60</f>
        <v>0</v>
      </c>
      <c r="B60" s="70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7" customFormat="1" spans="1:15">
      <c r="A61" s="78">
        <f>'[1]特别隐藏版（勿动、勿看）'!A61</f>
        <v>0</v>
      </c>
      <c r="B61" s="70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7" customFormat="1" spans="1:15">
      <c r="A62" s="72" t="str">
        <f>'[1]特别隐藏版（勿动、勿看）'!A62</f>
        <v>Z-NZTF1店</v>
      </c>
      <c r="B62" s="77" t="str">
        <f>'[1]特别隐藏版（勿动、勿看）'!B62</f>
        <v>实际利润（人民币）</v>
      </c>
      <c r="C62" s="77">
        <f>'[1]2026年度男装汇总分析'!C62</f>
        <v>63564.22</v>
      </c>
      <c r="D62" s="77">
        <f>'[1]2026年度男装汇总分析'!D62</f>
        <v>186252.86</v>
      </c>
      <c r="E62" s="77">
        <f>'[1]2026年度男装汇总分析'!E62</f>
        <v>23902.22</v>
      </c>
      <c r="F62" s="77">
        <f>'[1]2026年度男装汇总分析'!F62</f>
        <v>154982.1</v>
      </c>
      <c r="G62" s="77">
        <f>'[1]2026年度男装汇总分析'!G62</f>
        <v>58803.505650204</v>
      </c>
      <c r="H62" s="77">
        <f>'[1]2026年度男装汇总分析'!H62</f>
        <v>33708.680535336</v>
      </c>
      <c r="I62" s="77">
        <f>'[1]2026年度男装汇总分析'!I62</f>
        <v>0</v>
      </c>
      <c r="J62" s="77">
        <f>'[1]2026年度男装汇总分析'!J62</f>
        <v>0</v>
      </c>
      <c r="K62" s="77">
        <f>'[1]2026年度男装汇总分析'!K62</f>
        <v>0</v>
      </c>
      <c r="L62" s="77">
        <f>'[1]2026年度男装汇总分析'!L62</f>
        <v>0</v>
      </c>
      <c r="M62" s="77">
        <f>'[1]2026年度男装汇总分析'!M62</f>
        <v>0</v>
      </c>
      <c r="N62" s="77">
        <f>'[1]2026年度男装汇总分析'!N62</f>
        <v>0</v>
      </c>
      <c r="O62" s="21">
        <f t="shared" ref="O62:O66" si="20">SUM(C62:N62)</f>
        <v>521213.58618554</v>
      </c>
    </row>
    <row r="63" s="67" customFormat="1" spans="1:15">
      <c r="A63" s="73">
        <f>'[1]特别隐藏版（勿动、勿看）'!A63</f>
        <v>0</v>
      </c>
      <c r="B63" s="70" t="str">
        <f>'[1]特别隐藏版（勿动、勿看）'!B63</f>
        <v>销量完成</v>
      </c>
      <c r="C63" s="70">
        <f>'[1]2026年度男装汇总分析'!C63</f>
        <v>3019</v>
      </c>
      <c r="D63" s="70">
        <f>'[1]2026年度男装汇总分析'!D63</f>
        <v>10048</v>
      </c>
      <c r="E63" s="70">
        <f>'[1]2026年度男装汇总分析'!E63</f>
        <v>5984</v>
      </c>
      <c r="F63" s="70">
        <f>'[1]2026年度男装汇总分析'!F63</f>
        <v>11196</v>
      </c>
      <c r="G63" s="70">
        <f>'[1]2026年度男装汇总分析'!G63</f>
        <v>7971</v>
      </c>
      <c r="H63" s="70">
        <f>'[1]2026年度男装汇总分析'!H63</f>
        <v>3105</v>
      </c>
      <c r="I63" s="70">
        <f>'[1]2026年度男装汇总分析'!I63</f>
        <v>0</v>
      </c>
      <c r="J63" s="70">
        <f>'[1]2026年度男装汇总分析'!J63</f>
        <v>0</v>
      </c>
      <c r="K63" s="70">
        <f>'[1]2026年度男装汇总分析'!K63</f>
        <v>0</v>
      </c>
      <c r="L63" s="70">
        <f>'[1]2026年度男装汇总分析'!L63</f>
        <v>0</v>
      </c>
      <c r="M63" s="70">
        <f>'[1]2026年度男装汇总分析'!M63</f>
        <v>0</v>
      </c>
      <c r="N63" s="70">
        <f>'[1]2026年度男装汇总分析'!N63</f>
        <v>0</v>
      </c>
      <c r="O63" s="1">
        <f t="shared" si="20"/>
        <v>41323</v>
      </c>
    </row>
    <row r="64" s="67" customFormat="1" spans="1:15">
      <c r="A64" s="73">
        <f>'[1]特别隐藏版（勿动、勿看）'!A64</f>
        <v>0</v>
      </c>
      <c r="B64" s="70" t="str">
        <f>'[1]特别隐藏版（勿动、勿看）'!B64</f>
        <v>实销完成</v>
      </c>
      <c r="C64" s="70">
        <f>'[1]2026年度男装汇总分析'!C64</f>
        <v>782</v>
      </c>
      <c r="D64" s="70">
        <f>'[1]2026年度男装汇总分析'!D64</f>
        <v>2400</v>
      </c>
      <c r="E64" s="70">
        <f>'[1]2026年度男装汇总分析'!E64</f>
        <v>1177</v>
      </c>
      <c r="F64" s="70">
        <f>'[1]2026年度男装汇总分析'!F64</f>
        <v>2441</v>
      </c>
      <c r="G64" s="70">
        <f>'[1]2026年度男装汇总分析'!G64</f>
        <v>1758</v>
      </c>
      <c r="H64" s="70">
        <f>'[1]2026年度男装汇总分析'!H64</f>
        <v>895</v>
      </c>
      <c r="I64" s="70">
        <f>'[1]2026年度男装汇总分析'!I64</f>
        <v>0</v>
      </c>
      <c r="J64" s="70">
        <f>'[1]2026年度男装汇总分析'!J64</f>
        <v>0</v>
      </c>
      <c r="K64" s="70">
        <f>'[1]2026年度男装汇总分析'!K64</f>
        <v>0</v>
      </c>
      <c r="L64" s="70">
        <f>'[1]2026年度男装汇总分析'!L64</f>
        <v>0</v>
      </c>
      <c r="M64" s="70">
        <f>'[1]2026年度男装汇总分析'!M64</f>
        <v>0</v>
      </c>
      <c r="N64" s="70">
        <f>'[1]2026年度男装汇总分析'!N64</f>
        <v>0</v>
      </c>
      <c r="O64" s="1">
        <f t="shared" si="20"/>
        <v>9453</v>
      </c>
    </row>
    <row r="65" s="67" customFormat="1" spans="1:17">
      <c r="A65" s="73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3">
        <f t="shared" si="20"/>
        <v>210264443</v>
      </c>
      <c r="Q65" s="69"/>
    </row>
    <row r="66" s="67" customFormat="1" spans="1:17">
      <c r="A66" s="73">
        <f>'[1]特别隐藏版（勿动、勿看）'!A66</f>
        <v>0</v>
      </c>
      <c r="B66" s="77" t="str">
        <f>'[1]特别隐藏版（勿动、勿看）'!B66</f>
        <v>GSV完成</v>
      </c>
      <c r="C66" s="77">
        <f>'[1]2026年度男装汇总分析'!C66</f>
        <v>324669.67</v>
      </c>
      <c r="D66" s="77">
        <f>'[1]2026年度男装汇总分析'!D66</f>
        <v>1018496.8</v>
      </c>
      <c r="E66" s="77">
        <f>'[1]2026年度男装汇总分析'!E66</f>
        <v>504766.74</v>
      </c>
      <c r="F66" s="77">
        <f>'[1]2026年度男装汇总分析'!F66</f>
        <v>1069518.42</v>
      </c>
      <c r="G66" s="77">
        <f>'[1]2026年度男装汇总分析'!G66</f>
        <v>797308.5406</v>
      </c>
      <c r="H66" s="77">
        <f>'[1]2026年度男装汇总分析'!H66</f>
        <v>388343.4578</v>
      </c>
      <c r="I66" s="77">
        <f>'[1]2026年度男装汇总分析'!I66</f>
        <v>0</v>
      </c>
      <c r="J66" s="77">
        <f>'[1]2026年度男装汇总分析'!J66</f>
        <v>0</v>
      </c>
      <c r="K66" s="77">
        <f>'[1]2026年度男装汇总分析'!K66</f>
        <v>0</v>
      </c>
      <c r="L66" s="77">
        <f>'[1]2026年度男装汇总分析'!L66</f>
        <v>0</v>
      </c>
      <c r="M66" s="77">
        <f>'[1]2026年度男装汇总分析'!M66</f>
        <v>0</v>
      </c>
      <c r="N66" s="77">
        <f>'[1]2026年度男装汇总分析'!N66</f>
        <v>0</v>
      </c>
      <c r="O66" s="21">
        <f t="shared" si="20"/>
        <v>4103103.6284</v>
      </c>
      <c r="Q66" s="68"/>
    </row>
    <row r="67" s="67" customFormat="1" spans="1:15">
      <c r="A67" s="73">
        <f>'[1]特别隐藏版（勿动、勿看）'!A67</f>
        <v>0</v>
      </c>
      <c r="B67" s="70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7" customFormat="1" spans="1:15">
      <c r="A68" s="73">
        <f>'[1]特别隐藏版（勿动、勿看）'!A68</f>
        <v>0</v>
      </c>
      <c r="B68" s="70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7" customFormat="1" spans="1:15">
      <c r="A69" s="78">
        <f>'[1]特别隐藏版（勿动、勿看）'!A69</f>
        <v>0</v>
      </c>
      <c r="B69" s="70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7" customFormat="1" spans="1:15">
      <c r="A70" s="72" t="str">
        <f>'[1]特别隐藏版（勿动、勿看）'!A70</f>
        <v>新店1</v>
      </c>
      <c r="B70" s="70" t="str">
        <f>'[1]特别隐藏版（勿动、勿看）'!B70</f>
        <v>实际利润（人民币）</v>
      </c>
      <c r="C70" s="77">
        <f>'[1]2026年度男装汇总分析'!C70</f>
        <v>0</v>
      </c>
      <c r="D70" s="77">
        <f>'[1]2026年度男装汇总分析'!D70</f>
        <v>0</v>
      </c>
      <c r="E70" s="77">
        <f>'[1]2026年度男装汇总分析'!E70</f>
        <v>0</v>
      </c>
      <c r="F70" s="77">
        <f>'[1]2026年度男装汇总分析'!F70</f>
        <v>0</v>
      </c>
      <c r="G70" s="77">
        <f>'[1]2026年度男装汇总分析'!G70</f>
        <v>0</v>
      </c>
      <c r="H70" s="77">
        <f>'[1]2026年度男装汇总分析'!H70</f>
        <v>0</v>
      </c>
      <c r="I70" s="77">
        <f>'[1]2026年度男装汇总分析'!I70</f>
        <v>0</v>
      </c>
      <c r="J70" s="77">
        <f>'[1]2026年度男装汇总分析'!J70</f>
        <v>0</v>
      </c>
      <c r="K70" s="77">
        <f>'[1]2026年度男装汇总分析'!K70</f>
        <v>0</v>
      </c>
      <c r="L70" s="77">
        <f>'[1]2026年度男装汇总分析'!L70</f>
        <v>0</v>
      </c>
      <c r="M70" s="77">
        <f>'[1]2026年度男装汇总分析'!M70</f>
        <v>0</v>
      </c>
      <c r="N70" s="77">
        <f>'[1]2026年度男装汇总分析'!N70</f>
        <v>0</v>
      </c>
      <c r="O70" s="21">
        <f t="shared" ref="O70:O74" si="24">SUM(C70:N70)</f>
        <v>0</v>
      </c>
    </row>
    <row r="71" s="67" customFormat="1" spans="1:15">
      <c r="A71" s="73">
        <f>'[1]特别隐藏版（勿动、勿看）'!A71</f>
        <v>0</v>
      </c>
      <c r="B71" s="70" t="str">
        <f>'[1]特别隐藏版（勿动、勿看）'!B71</f>
        <v>销量完成</v>
      </c>
      <c r="C71" s="70">
        <f>'[1]2026年度男装汇总分析'!C71</f>
        <v>0</v>
      </c>
      <c r="D71" s="70">
        <f>'[1]2026年度男装汇总分析'!D71</f>
        <v>0</v>
      </c>
      <c r="E71" s="70">
        <f>'[1]2026年度男装汇总分析'!E71</f>
        <v>0</v>
      </c>
      <c r="F71" s="70">
        <f>'[1]2026年度男装汇总分析'!F71</f>
        <v>0</v>
      </c>
      <c r="G71" s="70">
        <f>'[1]2026年度男装汇总分析'!G71</f>
        <v>0</v>
      </c>
      <c r="H71" s="70">
        <f>'[1]2026年度男装汇总分析'!H71</f>
        <v>0</v>
      </c>
      <c r="I71" s="70">
        <f>'[1]2026年度男装汇总分析'!I71</f>
        <v>0</v>
      </c>
      <c r="J71" s="70">
        <f>'[1]2026年度男装汇总分析'!J71</f>
        <v>0</v>
      </c>
      <c r="K71" s="70">
        <f>'[1]2026年度男装汇总分析'!K71</f>
        <v>0</v>
      </c>
      <c r="L71" s="70">
        <f>'[1]2026年度男装汇总分析'!L71</f>
        <v>0</v>
      </c>
      <c r="M71" s="70">
        <f>'[1]2026年度男装汇总分析'!M71</f>
        <v>0</v>
      </c>
      <c r="N71" s="70">
        <f>'[1]2026年度男装汇总分析'!N71</f>
        <v>0</v>
      </c>
      <c r="O71" s="1">
        <f t="shared" si="24"/>
        <v>0</v>
      </c>
    </row>
    <row r="72" s="67" customFormat="1" spans="1:15">
      <c r="A72" s="73">
        <f>'[1]特别隐藏版（勿动、勿看）'!A72</f>
        <v>0</v>
      </c>
      <c r="B72" s="70" t="str">
        <f>'[1]特别隐藏版（勿动、勿看）'!B72</f>
        <v>实销完成</v>
      </c>
      <c r="C72" s="70">
        <f>'[1]2026年度男装汇总分析'!C72</f>
        <v>0</v>
      </c>
      <c r="D72" s="70">
        <f>'[1]2026年度男装汇总分析'!D72</f>
        <v>0</v>
      </c>
      <c r="E72" s="70">
        <f>'[1]2026年度男装汇总分析'!E72</f>
        <v>0</v>
      </c>
      <c r="F72" s="70">
        <f>'[1]2026年度男装汇总分析'!F72</f>
        <v>0</v>
      </c>
      <c r="G72" s="70">
        <f>'[1]2026年度男装汇总分析'!G72</f>
        <v>0</v>
      </c>
      <c r="H72" s="70">
        <f>'[1]2026年度男装汇总分析'!H72</f>
        <v>0</v>
      </c>
      <c r="I72" s="70">
        <f>'[1]2026年度男装汇总分析'!I72</f>
        <v>0</v>
      </c>
      <c r="J72" s="70">
        <f>'[1]2026年度男装汇总分析'!J72</f>
        <v>0</v>
      </c>
      <c r="K72" s="70">
        <f>'[1]2026年度男装汇总分析'!K72</f>
        <v>0</v>
      </c>
      <c r="L72" s="70">
        <f>'[1]2026年度男装汇总分析'!L72</f>
        <v>0</v>
      </c>
      <c r="M72" s="70">
        <f>'[1]2026年度男装汇总分析'!M72</f>
        <v>0</v>
      </c>
      <c r="N72" s="70">
        <f>'[1]2026年度男装汇总分析'!N72</f>
        <v>0</v>
      </c>
      <c r="O72" s="1">
        <f t="shared" si="24"/>
        <v>0</v>
      </c>
    </row>
    <row r="73" s="67" customFormat="1" spans="1:15">
      <c r="A73" s="73">
        <f>'[1]特别隐藏版（勿动、勿看）'!A73</f>
        <v>0</v>
      </c>
      <c r="B73" s="70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3">
        <f t="shared" si="24"/>
        <v>0</v>
      </c>
    </row>
    <row r="74" s="67" customFormat="1" spans="1:15">
      <c r="A74" s="73">
        <f>'[1]特别隐藏版（勿动、勿看）'!A74</f>
        <v>0</v>
      </c>
      <c r="B74" s="70" t="str">
        <f>'[1]特别隐藏版（勿动、勿看）'!B74</f>
        <v>GSV完成</v>
      </c>
      <c r="C74" s="77">
        <f>'[1]2026年度男装汇总分析'!C74</f>
        <v>0</v>
      </c>
      <c r="D74" s="77">
        <f>'[1]2026年度男装汇总分析'!D74</f>
        <v>0</v>
      </c>
      <c r="E74" s="77">
        <f>'[1]2026年度男装汇总分析'!E74</f>
        <v>0</v>
      </c>
      <c r="F74" s="77">
        <f>'[1]2026年度男装汇总分析'!F74</f>
        <v>0</v>
      </c>
      <c r="G74" s="77">
        <f>'[1]2026年度男装汇总分析'!G74</f>
        <v>0</v>
      </c>
      <c r="H74" s="77">
        <f>'[1]2026年度男装汇总分析'!H74</f>
        <v>0</v>
      </c>
      <c r="I74" s="77">
        <f>'[1]2026年度男装汇总分析'!I74</f>
        <v>0</v>
      </c>
      <c r="J74" s="77">
        <f>'[1]2026年度男装汇总分析'!J74</f>
        <v>0</v>
      </c>
      <c r="K74" s="77">
        <f>'[1]2026年度男装汇总分析'!K74</f>
        <v>0</v>
      </c>
      <c r="L74" s="77">
        <f>'[1]2026年度男装汇总分析'!L74</f>
        <v>0</v>
      </c>
      <c r="M74" s="77">
        <f>'[1]2026年度男装汇总分析'!M74</f>
        <v>0</v>
      </c>
      <c r="N74" s="77">
        <f>'[1]2026年度男装汇总分析'!N74</f>
        <v>0</v>
      </c>
      <c r="O74" s="21">
        <f t="shared" si="24"/>
        <v>0</v>
      </c>
    </row>
    <row r="75" s="67" customFormat="1" spans="1:15">
      <c r="A75" s="73">
        <f>'[1]特别隐藏版（勿动、勿看）'!A75</f>
        <v>0</v>
      </c>
      <c r="B75" s="70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7" customFormat="1" spans="1:15">
      <c r="A76" s="73">
        <f>'[1]特别隐藏版（勿动、勿看）'!A76</f>
        <v>0</v>
      </c>
      <c r="B76" s="70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7" customFormat="1" spans="1:15">
      <c r="A77" s="78">
        <f>'[1]特别隐藏版（勿动、勿看）'!A77</f>
        <v>0</v>
      </c>
      <c r="B77" s="70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7" customFormat="1" spans="1:15">
      <c r="A78" s="72" t="str">
        <f>'[1]特别隐藏版（勿动、勿看）'!A78</f>
        <v>新店2</v>
      </c>
      <c r="B78" s="70" t="str">
        <f>'[1]特别隐藏版（勿动、勿看）'!B78</f>
        <v>实际利润（人民币）</v>
      </c>
      <c r="C78" s="70">
        <f>'[1]特别隐藏版（勿动、勿看）'!C78</f>
        <v>0</v>
      </c>
      <c r="D78" s="70">
        <f>'[1]特别隐藏版（勿动、勿看）'!D78</f>
        <v>0</v>
      </c>
      <c r="E78" s="70">
        <f>'[1]特别隐藏版（勿动、勿看）'!E78</f>
        <v>0</v>
      </c>
      <c r="F78" s="70">
        <f>'[1]特别隐藏版（勿动、勿看）'!F78</f>
        <v>0</v>
      </c>
      <c r="G78" s="70">
        <f>'[1]特别隐藏版（勿动、勿看）'!G78</f>
        <v>0</v>
      </c>
      <c r="H78" s="70">
        <f>'[1]特别隐藏版（勿动、勿看）'!H78</f>
        <v>0</v>
      </c>
      <c r="I78" s="70">
        <f>'[1]特别隐藏版（勿动、勿看）'!I78</f>
        <v>0</v>
      </c>
      <c r="J78" s="70">
        <f>'[1]特别隐藏版（勿动、勿看）'!J78</f>
        <v>0</v>
      </c>
      <c r="K78" s="70">
        <f>'[1]特别隐藏版（勿动、勿看）'!K78</f>
        <v>0</v>
      </c>
      <c r="L78" s="70">
        <f>'[1]特别隐藏版（勿动、勿看）'!L78</f>
        <v>0</v>
      </c>
      <c r="M78" s="70">
        <f>'[1]特别隐藏版（勿动、勿看）'!M78</f>
        <v>0</v>
      </c>
      <c r="N78" s="70">
        <f>'[1]特别隐藏版（勿动、勿看）'!N78</f>
        <v>0</v>
      </c>
      <c r="O78" s="70">
        <f>'[1]特别隐藏版（勿动、勿看）'!O78</f>
        <v>0</v>
      </c>
    </row>
    <row r="79" s="67" customFormat="1" spans="1:15">
      <c r="A79" s="73">
        <f>'[1]特别隐藏版（勿动、勿看）'!A79</f>
        <v>0</v>
      </c>
      <c r="B79" s="70" t="str">
        <f>'[1]特别隐藏版（勿动、勿看）'!B79</f>
        <v>销量完成</v>
      </c>
      <c r="C79" s="70">
        <f>'[1]特别隐藏版（勿动、勿看）'!C79</f>
        <v>0</v>
      </c>
      <c r="D79" s="70">
        <f>'[1]特别隐藏版（勿动、勿看）'!D79</f>
        <v>0</v>
      </c>
      <c r="E79" s="70">
        <f>'[1]特别隐藏版（勿动、勿看）'!E79</f>
        <v>0</v>
      </c>
      <c r="F79" s="70">
        <f>'[1]特别隐藏版（勿动、勿看）'!F79</f>
        <v>0</v>
      </c>
      <c r="G79" s="70">
        <f>'[1]特别隐藏版（勿动、勿看）'!G79</f>
        <v>0</v>
      </c>
      <c r="H79" s="70">
        <f>'[1]特别隐藏版（勿动、勿看）'!H79</f>
        <v>0</v>
      </c>
      <c r="I79" s="70">
        <f>'[1]特别隐藏版（勿动、勿看）'!I79</f>
        <v>0</v>
      </c>
      <c r="J79" s="70">
        <f>'[1]特别隐藏版（勿动、勿看）'!J79</f>
        <v>0</v>
      </c>
      <c r="K79" s="70">
        <f>'[1]特别隐藏版（勿动、勿看）'!K79</f>
        <v>0</v>
      </c>
      <c r="L79" s="70">
        <f>'[1]特别隐藏版（勿动、勿看）'!L79</f>
        <v>0</v>
      </c>
      <c r="M79" s="70">
        <f>'[1]特别隐藏版（勿动、勿看）'!M79</f>
        <v>0</v>
      </c>
      <c r="N79" s="70">
        <f>'[1]特别隐藏版（勿动、勿看）'!N79</f>
        <v>0</v>
      </c>
      <c r="O79" s="70">
        <f>'[1]特别隐藏版（勿动、勿看）'!O79</f>
        <v>0</v>
      </c>
    </row>
    <row r="80" s="67" customFormat="1" spans="1:15">
      <c r="A80" s="73">
        <f>'[1]特别隐藏版（勿动、勿看）'!A80</f>
        <v>0</v>
      </c>
      <c r="B80" s="70" t="str">
        <f>'[1]特别隐藏版（勿动、勿看）'!B80</f>
        <v>实销完成</v>
      </c>
      <c r="C80" s="70">
        <f>'[1]特别隐藏版（勿动、勿看）'!C80</f>
        <v>0</v>
      </c>
      <c r="D80" s="70">
        <f>'[1]特别隐藏版（勿动、勿看）'!D80</f>
        <v>0</v>
      </c>
      <c r="E80" s="70">
        <f>'[1]特别隐藏版（勿动、勿看）'!E80</f>
        <v>0</v>
      </c>
      <c r="F80" s="70">
        <f>'[1]特别隐藏版（勿动、勿看）'!F80</f>
        <v>0</v>
      </c>
      <c r="G80" s="70">
        <f>'[1]特别隐藏版（勿动、勿看）'!G80</f>
        <v>0</v>
      </c>
      <c r="H80" s="70">
        <f>'[1]特别隐藏版（勿动、勿看）'!H80</f>
        <v>0</v>
      </c>
      <c r="I80" s="70">
        <f>'[1]特别隐藏版（勿动、勿看）'!I80</f>
        <v>0</v>
      </c>
      <c r="J80" s="70">
        <f>'[1]特别隐藏版（勿动、勿看）'!J80</f>
        <v>0</v>
      </c>
      <c r="K80" s="70">
        <f>'[1]特别隐藏版（勿动、勿看）'!K80</f>
        <v>0</v>
      </c>
      <c r="L80" s="70">
        <f>'[1]特别隐藏版（勿动、勿看）'!L80</f>
        <v>0</v>
      </c>
      <c r="M80" s="70">
        <f>'[1]特别隐藏版（勿动、勿看）'!M80</f>
        <v>0</v>
      </c>
      <c r="N80" s="70">
        <f>'[1]特别隐藏版（勿动、勿看）'!N80</f>
        <v>0</v>
      </c>
      <c r="O80" s="70">
        <f>'[1]特别隐藏版（勿动、勿看）'!O80</f>
        <v>0</v>
      </c>
    </row>
    <row r="81" s="67" customFormat="1" spans="1:15">
      <c r="A81" s="73">
        <f>'[1]特别隐藏版（勿动、勿看）'!A81</f>
        <v>0</v>
      </c>
      <c r="B81" s="70" t="str">
        <f>'[1]特别隐藏版（勿动、勿看）'!B81</f>
        <v>GMV完成</v>
      </c>
      <c r="C81" s="70">
        <f>'[1]特别隐藏版（勿动、勿看）'!C81</f>
        <v>0</v>
      </c>
      <c r="D81" s="70">
        <f>'[1]特别隐藏版（勿动、勿看）'!D81</f>
        <v>0</v>
      </c>
      <c r="E81" s="70">
        <f>'[1]特别隐藏版（勿动、勿看）'!E81</f>
        <v>0</v>
      </c>
      <c r="F81" s="70">
        <f>'[1]特别隐藏版（勿动、勿看）'!F81</f>
        <v>0</v>
      </c>
      <c r="G81" s="70">
        <f>'[1]特别隐藏版（勿动、勿看）'!G81</f>
        <v>0</v>
      </c>
      <c r="H81" s="70">
        <f>'[1]特别隐藏版（勿动、勿看）'!H81</f>
        <v>0</v>
      </c>
      <c r="I81" s="70">
        <f>'[1]特别隐藏版（勿动、勿看）'!I81</f>
        <v>0</v>
      </c>
      <c r="J81" s="70">
        <f>'[1]特别隐藏版（勿动、勿看）'!J81</f>
        <v>0</v>
      </c>
      <c r="K81" s="70">
        <f>'[1]特别隐藏版（勿动、勿看）'!K81</f>
        <v>0</v>
      </c>
      <c r="L81" s="70">
        <f>'[1]特别隐藏版（勿动、勿看）'!L81</f>
        <v>0</v>
      </c>
      <c r="M81" s="70">
        <f>'[1]特别隐藏版（勿动、勿看）'!M81</f>
        <v>0</v>
      </c>
      <c r="N81" s="70">
        <f>'[1]特别隐藏版（勿动、勿看）'!N81</f>
        <v>0</v>
      </c>
      <c r="O81" s="70">
        <f>'[1]特别隐藏版（勿动、勿看）'!O81</f>
        <v>0</v>
      </c>
    </row>
    <row r="82" s="67" customFormat="1" spans="1:15">
      <c r="A82" s="73">
        <f>'[1]特别隐藏版（勿动、勿看）'!A82</f>
        <v>0</v>
      </c>
      <c r="B82" s="70" t="str">
        <f>'[1]特别隐藏版（勿动、勿看）'!B82</f>
        <v>GSV完成</v>
      </c>
      <c r="C82" s="70">
        <f>'[1]特别隐藏版（勿动、勿看）'!C82</f>
        <v>0</v>
      </c>
      <c r="D82" s="70">
        <f>'[1]特别隐藏版（勿动、勿看）'!D82</f>
        <v>0</v>
      </c>
      <c r="E82" s="70">
        <f>'[1]特别隐藏版（勿动、勿看）'!E82</f>
        <v>0</v>
      </c>
      <c r="F82" s="70">
        <f>'[1]特别隐藏版（勿动、勿看）'!F82</f>
        <v>0</v>
      </c>
      <c r="G82" s="70">
        <f>'[1]特别隐藏版（勿动、勿看）'!G82</f>
        <v>0</v>
      </c>
      <c r="H82" s="70">
        <f>'[1]特别隐藏版（勿动、勿看）'!H82</f>
        <v>0</v>
      </c>
      <c r="I82" s="70">
        <f>'[1]特别隐藏版（勿动、勿看）'!I82</f>
        <v>0</v>
      </c>
      <c r="J82" s="70">
        <f>'[1]特别隐藏版（勿动、勿看）'!J82</f>
        <v>0</v>
      </c>
      <c r="K82" s="70">
        <f>'[1]特别隐藏版（勿动、勿看）'!K82</f>
        <v>0</v>
      </c>
      <c r="L82" s="70">
        <f>'[1]特别隐藏版（勿动、勿看）'!L82</f>
        <v>0</v>
      </c>
      <c r="M82" s="70">
        <f>'[1]特别隐藏版（勿动、勿看）'!M82</f>
        <v>0</v>
      </c>
      <c r="N82" s="70">
        <f>'[1]特别隐藏版（勿动、勿看）'!N82</f>
        <v>0</v>
      </c>
      <c r="O82" s="70">
        <f>'[1]特别隐藏版（勿动、勿看）'!O82</f>
        <v>0</v>
      </c>
    </row>
    <row r="83" s="67" customFormat="1" spans="1:15">
      <c r="A83" s="73">
        <f>'[1]特别隐藏版（勿动、勿看）'!A83</f>
        <v>0</v>
      </c>
      <c r="B83" s="70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7" customFormat="1" spans="1:15">
      <c r="A84" s="73">
        <f>'[1]特别隐藏版（勿动、勿看）'!A84</f>
        <v>0</v>
      </c>
      <c r="B84" s="70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7" customFormat="1" spans="1:15">
      <c r="A85" s="78">
        <f>'[1]特别隐藏版（勿动、勿看）'!A85</f>
        <v>0</v>
      </c>
      <c r="B85" s="70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7" customFormat="1" spans="1:15">
      <c r="A86" s="72" t="str">
        <f>'[1]特别隐藏版（勿动、勿看）'!A86</f>
        <v>新店3</v>
      </c>
      <c r="B86" s="70" t="str">
        <f>'[1]特别隐藏版（勿动、勿看）'!B86</f>
        <v>实际利润（人民币）</v>
      </c>
      <c r="C86" s="70">
        <f>'[1]特别隐藏版（勿动、勿看）'!C86</f>
        <v>0</v>
      </c>
      <c r="D86" s="70">
        <f>'[1]特别隐藏版（勿动、勿看）'!D86</f>
        <v>0</v>
      </c>
      <c r="E86" s="70">
        <f>'[1]特别隐藏版（勿动、勿看）'!E86</f>
        <v>0</v>
      </c>
      <c r="F86" s="70">
        <f>'[1]特别隐藏版（勿动、勿看）'!F86</f>
        <v>0</v>
      </c>
      <c r="G86" s="70">
        <f>'[1]特别隐藏版（勿动、勿看）'!G86</f>
        <v>0</v>
      </c>
      <c r="H86" s="70">
        <f>'[1]特别隐藏版（勿动、勿看）'!H86</f>
        <v>0</v>
      </c>
      <c r="I86" s="70">
        <f>'[1]特别隐藏版（勿动、勿看）'!I86</f>
        <v>0</v>
      </c>
      <c r="J86" s="70">
        <f>'[1]特别隐藏版（勿动、勿看）'!J86</f>
        <v>0</v>
      </c>
      <c r="K86" s="70">
        <f>'[1]特别隐藏版（勿动、勿看）'!K86</f>
        <v>0</v>
      </c>
      <c r="L86" s="70">
        <f>'[1]特别隐藏版（勿动、勿看）'!L86</f>
        <v>0</v>
      </c>
      <c r="M86" s="70">
        <f>'[1]特别隐藏版（勿动、勿看）'!M86</f>
        <v>0</v>
      </c>
      <c r="N86" s="70">
        <f>'[1]特别隐藏版（勿动、勿看）'!N86</f>
        <v>0</v>
      </c>
      <c r="O86" s="70">
        <f>'[1]特别隐藏版（勿动、勿看）'!O86</f>
        <v>0</v>
      </c>
    </row>
    <row r="87" s="67" customFormat="1" spans="1:15">
      <c r="A87" s="73">
        <f>'[1]特别隐藏版（勿动、勿看）'!A87</f>
        <v>0</v>
      </c>
      <c r="B87" s="70" t="str">
        <f>'[1]特别隐藏版（勿动、勿看）'!B87</f>
        <v>销量完成</v>
      </c>
      <c r="C87" s="70">
        <f>'[1]特别隐藏版（勿动、勿看）'!C87</f>
        <v>0</v>
      </c>
      <c r="D87" s="70">
        <f>'[1]特别隐藏版（勿动、勿看）'!D87</f>
        <v>0</v>
      </c>
      <c r="E87" s="70">
        <f>'[1]特别隐藏版（勿动、勿看）'!E87</f>
        <v>0</v>
      </c>
      <c r="F87" s="70">
        <f>'[1]特别隐藏版（勿动、勿看）'!F87</f>
        <v>0</v>
      </c>
      <c r="G87" s="70">
        <f>'[1]特别隐藏版（勿动、勿看）'!G87</f>
        <v>0</v>
      </c>
      <c r="H87" s="70">
        <f>'[1]特别隐藏版（勿动、勿看）'!H87</f>
        <v>0</v>
      </c>
      <c r="I87" s="70">
        <f>'[1]特别隐藏版（勿动、勿看）'!I87</f>
        <v>0</v>
      </c>
      <c r="J87" s="70">
        <f>'[1]特别隐藏版（勿动、勿看）'!J87</f>
        <v>0</v>
      </c>
      <c r="K87" s="70">
        <f>'[1]特别隐藏版（勿动、勿看）'!K87</f>
        <v>0</v>
      </c>
      <c r="L87" s="70">
        <f>'[1]特别隐藏版（勿动、勿看）'!L87</f>
        <v>0</v>
      </c>
      <c r="M87" s="70">
        <f>'[1]特别隐藏版（勿动、勿看）'!M87</f>
        <v>0</v>
      </c>
      <c r="N87" s="70">
        <f>'[1]特别隐藏版（勿动、勿看）'!N87</f>
        <v>0</v>
      </c>
      <c r="O87" s="70">
        <f>'[1]特别隐藏版（勿动、勿看）'!O87</f>
        <v>0</v>
      </c>
    </row>
    <row r="88" s="67" customFormat="1" spans="1:15">
      <c r="A88" s="73">
        <f>'[1]特别隐藏版（勿动、勿看）'!A88</f>
        <v>0</v>
      </c>
      <c r="B88" s="70" t="str">
        <f>'[1]特别隐藏版（勿动、勿看）'!B88</f>
        <v>实销完成</v>
      </c>
      <c r="C88" s="70">
        <f>'[1]特别隐藏版（勿动、勿看）'!C88</f>
        <v>0</v>
      </c>
      <c r="D88" s="70">
        <f>'[1]特别隐藏版（勿动、勿看）'!D88</f>
        <v>0</v>
      </c>
      <c r="E88" s="70">
        <f>'[1]特别隐藏版（勿动、勿看）'!E88</f>
        <v>0</v>
      </c>
      <c r="F88" s="70">
        <f>'[1]特别隐藏版（勿动、勿看）'!F88</f>
        <v>0</v>
      </c>
      <c r="G88" s="70">
        <f>'[1]特别隐藏版（勿动、勿看）'!G88</f>
        <v>0</v>
      </c>
      <c r="H88" s="70">
        <f>'[1]特别隐藏版（勿动、勿看）'!H88</f>
        <v>0</v>
      </c>
      <c r="I88" s="70">
        <f>'[1]特别隐藏版（勿动、勿看）'!I88</f>
        <v>0</v>
      </c>
      <c r="J88" s="70">
        <f>'[1]特别隐藏版（勿动、勿看）'!J88</f>
        <v>0</v>
      </c>
      <c r="K88" s="70">
        <f>'[1]特别隐藏版（勿动、勿看）'!K88</f>
        <v>0</v>
      </c>
      <c r="L88" s="70">
        <f>'[1]特别隐藏版（勿动、勿看）'!L88</f>
        <v>0</v>
      </c>
      <c r="M88" s="70">
        <f>'[1]特别隐藏版（勿动、勿看）'!M88</f>
        <v>0</v>
      </c>
      <c r="N88" s="70">
        <f>'[1]特别隐藏版（勿动、勿看）'!N88</f>
        <v>0</v>
      </c>
      <c r="O88" s="70">
        <f>'[1]特别隐藏版（勿动、勿看）'!O88</f>
        <v>0</v>
      </c>
    </row>
    <row r="89" s="67" customFormat="1" spans="1:15">
      <c r="A89" s="73">
        <f>'[1]特别隐藏版（勿动、勿看）'!A89</f>
        <v>0</v>
      </c>
      <c r="B89" s="70" t="str">
        <f>'[1]特别隐藏版（勿动、勿看）'!B89</f>
        <v>GMV完成</v>
      </c>
      <c r="C89" s="70">
        <f>'[1]特别隐藏版（勿动、勿看）'!C89</f>
        <v>0</v>
      </c>
      <c r="D89" s="70">
        <f>'[1]特别隐藏版（勿动、勿看）'!D89</f>
        <v>0</v>
      </c>
      <c r="E89" s="70">
        <f>'[1]特别隐藏版（勿动、勿看）'!E89</f>
        <v>0</v>
      </c>
      <c r="F89" s="70">
        <f>'[1]特别隐藏版（勿动、勿看）'!F89</f>
        <v>0</v>
      </c>
      <c r="G89" s="70">
        <f>'[1]特别隐藏版（勿动、勿看）'!G89</f>
        <v>0</v>
      </c>
      <c r="H89" s="70">
        <f>'[1]特别隐藏版（勿动、勿看）'!H89</f>
        <v>0</v>
      </c>
      <c r="I89" s="70">
        <f>'[1]特别隐藏版（勿动、勿看）'!I89</f>
        <v>0</v>
      </c>
      <c r="J89" s="70">
        <f>'[1]特别隐藏版（勿动、勿看）'!J89</f>
        <v>0</v>
      </c>
      <c r="K89" s="70">
        <f>'[1]特别隐藏版（勿动、勿看）'!K89</f>
        <v>0</v>
      </c>
      <c r="L89" s="70">
        <f>'[1]特别隐藏版（勿动、勿看）'!L89</f>
        <v>0</v>
      </c>
      <c r="M89" s="70">
        <f>'[1]特别隐藏版（勿动、勿看）'!M89</f>
        <v>0</v>
      </c>
      <c r="N89" s="70">
        <f>'[1]特别隐藏版（勿动、勿看）'!N89</f>
        <v>0</v>
      </c>
      <c r="O89" s="70">
        <f>'[1]特别隐藏版（勿动、勿看）'!O89</f>
        <v>0</v>
      </c>
    </row>
    <row r="90" s="67" customFormat="1" spans="1:15">
      <c r="A90" s="73">
        <f>'[1]特别隐藏版（勿动、勿看）'!A90</f>
        <v>0</v>
      </c>
      <c r="B90" s="70" t="str">
        <f>'[1]特别隐藏版（勿动、勿看）'!B90</f>
        <v>GSV完成</v>
      </c>
      <c r="C90" s="70">
        <f>'[1]特别隐藏版（勿动、勿看）'!C90</f>
        <v>0</v>
      </c>
      <c r="D90" s="70">
        <f>'[1]特别隐藏版（勿动、勿看）'!D90</f>
        <v>0</v>
      </c>
      <c r="E90" s="70">
        <f>'[1]特别隐藏版（勿动、勿看）'!E90</f>
        <v>0</v>
      </c>
      <c r="F90" s="70">
        <f>'[1]特别隐藏版（勿动、勿看）'!F90</f>
        <v>0</v>
      </c>
      <c r="G90" s="70">
        <f>'[1]特别隐藏版（勿动、勿看）'!G90</f>
        <v>0</v>
      </c>
      <c r="H90" s="70">
        <f>'[1]特别隐藏版（勿动、勿看）'!H90</f>
        <v>0</v>
      </c>
      <c r="I90" s="70">
        <f>'[1]特别隐藏版（勿动、勿看）'!I90</f>
        <v>0</v>
      </c>
      <c r="J90" s="70">
        <f>'[1]特别隐藏版（勿动、勿看）'!J90</f>
        <v>0</v>
      </c>
      <c r="K90" s="70">
        <f>'[1]特别隐藏版（勿动、勿看）'!K90</f>
        <v>0</v>
      </c>
      <c r="L90" s="70">
        <f>'[1]特别隐藏版（勿动、勿看）'!L90</f>
        <v>0</v>
      </c>
      <c r="M90" s="70">
        <f>'[1]特别隐藏版（勿动、勿看）'!M90</f>
        <v>0</v>
      </c>
      <c r="N90" s="70">
        <f>'[1]特别隐藏版（勿动、勿看）'!N90</f>
        <v>0</v>
      </c>
      <c r="O90" s="70">
        <f>'[1]特别隐藏版（勿动、勿看）'!O90</f>
        <v>0</v>
      </c>
    </row>
    <row r="91" s="67" customFormat="1" spans="1:15">
      <c r="A91" s="73">
        <f>'[1]特别隐藏版（勿动、勿看）'!A91</f>
        <v>0</v>
      </c>
      <c r="B91" s="70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7" customFormat="1" spans="1:15">
      <c r="A92" s="73">
        <f>'[1]特别隐藏版（勿动、勿看）'!A92</f>
        <v>0</v>
      </c>
      <c r="B92" s="70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7" customFormat="1" spans="1:15">
      <c r="A93" s="78">
        <f>'[1]特别隐藏版（勿动、勿看）'!A93</f>
        <v>0</v>
      </c>
      <c r="B93" s="70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7" customFormat="1" spans="1:15">
      <c r="A94" s="72" t="str">
        <f>'[1]特别隐藏版（勿动、勿看）'!A94</f>
        <v>新店4</v>
      </c>
      <c r="B94" s="70" t="str">
        <f>'[1]特别隐藏版（勿动、勿看）'!B94</f>
        <v>实际利润（人民币）</v>
      </c>
      <c r="C94" s="70">
        <f>'[1]特别隐藏版（勿动、勿看）'!C94</f>
        <v>0</v>
      </c>
      <c r="D94" s="70">
        <f>'[1]特别隐藏版（勿动、勿看）'!D94</f>
        <v>0</v>
      </c>
      <c r="E94" s="70">
        <f>'[1]特别隐藏版（勿动、勿看）'!E94</f>
        <v>0</v>
      </c>
      <c r="F94" s="70">
        <f>'[1]特别隐藏版（勿动、勿看）'!F94</f>
        <v>0</v>
      </c>
      <c r="G94" s="70">
        <f>'[1]特别隐藏版（勿动、勿看）'!G94</f>
        <v>0</v>
      </c>
      <c r="H94" s="70">
        <f>'[1]特别隐藏版（勿动、勿看）'!H94</f>
        <v>0</v>
      </c>
      <c r="I94" s="70">
        <f>'[1]特别隐藏版（勿动、勿看）'!I94</f>
        <v>0</v>
      </c>
      <c r="J94" s="70">
        <f>'[1]特别隐藏版（勿动、勿看）'!J94</f>
        <v>0</v>
      </c>
      <c r="K94" s="70">
        <f>'[1]特别隐藏版（勿动、勿看）'!K94</f>
        <v>0</v>
      </c>
      <c r="L94" s="70">
        <f>'[1]特别隐藏版（勿动、勿看）'!L94</f>
        <v>0</v>
      </c>
      <c r="M94" s="70">
        <f>'[1]特别隐藏版（勿动、勿看）'!M94</f>
        <v>0</v>
      </c>
      <c r="N94" s="70">
        <f>'[1]特别隐藏版（勿动、勿看）'!N94</f>
        <v>0</v>
      </c>
      <c r="O94" s="70">
        <f>'[1]特别隐藏版（勿动、勿看）'!O94</f>
        <v>0</v>
      </c>
    </row>
    <row r="95" s="67" customFormat="1" spans="1:15">
      <c r="A95" s="73">
        <f>'[1]特别隐藏版（勿动、勿看）'!A95</f>
        <v>0</v>
      </c>
      <c r="B95" s="70" t="str">
        <f>'[1]特别隐藏版（勿动、勿看）'!B95</f>
        <v>销量完成</v>
      </c>
      <c r="C95" s="70">
        <f>'[1]特别隐藏版（勿动、勿看）'!C95</f>
        <v>0</v>
      </c>
      <c r="D95" s="70">
        <f>'[1]特别隐藏版（勿动、勿看）'!D95</f>
        <v>0</v>
      </c>
      <c r="E95" s="70">
        <f>'[1]特别隐藏版（勿动、勿看）'!E95</f>
        <v>0</v>
      </c>
      <c r="F95" s="70">
        <f>'[1]特别隐藏版（勿动、勿看）'!F95</f>
        <v>0</v>
      </c>
      <c r="G95" s="70">
        <f>'[1]特别隐藏版（勿动、勿看）'!G95</f>
        <v>0</v>
      </c>
      <c r="H95" s="70">
        <f>'[1]特别隐藏版（勿动、勿看）'!H95</f>
        <v>0</v>
      </c>
      <c r="I95" s="70">
        <f>'[1]特别隐藏版（勿动、勿看）'!I95</f>
        <v>0</v>
      </c>
      <c r="J95" s="70">
        <f>'[1]特别隐藏版（勿动、勿看）'!J95</f>
        <v>0</v>
      </c>
      <c r="K95" s="70">
        <f>'[1]特别隐藏版（勿动、勿看）'!K95</f>
        <v>0</v>
      </c>
      <c r="L95" s="70">
        <f>'[1]特别隐藏版（勿动、勿看）'!L95</f>
        <v>0</v>
      </c>
      <c r="M95" s="70">
        <f>'[1]特别隐藏版（勿动、勿看）'!M95</f>
        <v>0</v>
      </c>
      <c r="N95" s="70">
        <f>'[1]特别隐藏版（勿动、勿看）'!N95</f>
        <v>0</v>
      </c>
      <c r="O95" s="70">
        <f>'[1]特别隐藏版（勿动、勿看）'!O95</f>
        <v>0</v>
      </c>
    </row>
    <row r="96" s="67" customFormat="1" spans="1:15">
      <c r="A96" s="73">
        <f>'[1]特别隐藏版（勿动、勿看）'!A96</f>
        <v>0</v>
      </c>
      <c r="B96" s="70" t="str">
        <f>'[1]特别隐藏版（勿动、勿看）'!B96</f>
        <v>实销完成</v>
      </c>
      <c r="C96" s="70">
        <f>'[1]特别隐藏版（勿动、勿看）'!C96</f>
        <v>0</v>
      </c>
      <c r="D96" s="70">
        <f>'[1]特别隐藏版（勿动、勿看）'!D96</f>
        <v>0</v>
      </c>
      <c r="E96" s="70">
        <f>'[1]特别隐藏版（勿动、勿看）'!E96</f>
        <v>0</v>
      </c>
      <c r="F96" s="70">
        <f>'[1]特别隐藏版（勿动、勿看）'!F96</f>
        <v>0</v>
      </c>
      <c r="G96" s="70">
        <f>'[1]特别隐藏版（勿动、勿看）'!G96</f>
        <v>0</v>
      </c>
      <c r="H96" s="70">
        <f>'[1]特别隐藏版（勿动、勿看）'!H96</f>
        <v>0</v>
      </c>
      <c r="I96" s="70">
        <f>'[1]特别隐藏版（勿动、勿看）'!I96</f>
        <v>0</v>
      </c>
      <c r="J96" s="70">
        <f>'[1]特别隐藏版（勿动、勿看）'!J96</f>
        <v>0</v>
      </c>
      <c r="K96" s="70">
        <f>'[1]特别隐藏版（勿动、勿看）'!K96</f>
        <v>0</v>
      </c>
      <c r="L96" s="70">
        <f>'[1]特别隐藏版（勿动、勿看）'!L96</f>
        <v>0</v>
      </c>
      <c r="M96" s="70">
        <f>'[1]特别隐藏版（勿动、勿看）'!M96</f>
        <v>0</v>
      </c>
      <c r="N96" s="70">
        <f>'[1]特别隐藏版（勿动、勿看）'!N96</f>
        <v>0</v>
      </c>
      <c r="O96" s="70">
        <f>'[1]特别隐藏版（勿动、勿看）'!O96</f>
        <v>0</v>
      </c>
    </row>
    <row r="97" s="67" customFormat="1" spans="1:15">
      <c r="A97" s="73">
        <f>'[1]特别隐藏版（勿动、勿看）'!A97</f>
        <v>0</v>
      </c>
      <c r="B97" s="70" t="str">
        <f>'[1]特别隐藏版（勿动、勿看）'!B97</f>
        <v>GMV完成</v>
      </c>
      <c r="C97" s="70">
        <f>'[1]特别隐藏版（勿动、勿看）'!C97</f>
        <v>0</v>
      </c>
      <c r="D97" s="70">
        <f>'[1]特别隐藏版（勿动、勿看）'!D97</f>
        <v>0</v>
      </c>
      <c r="E97" s="70">
        <f>'[1]特别隐藏版（勿动、勿看）'!E97</f>
        <v>0</v>
      </c>
      <c r="F97" s="70">
        <f>'[1]特别隐藏版（勿动、勿看）'!F97</f>
        <v>0</v>
      </c>
      <c r="G97" s="70">
        <f>'[1]特别隐藏版（勿动、勿看）'!G97</f>
        <v>0</v>
      </c>
      <c r="H97" s="70">
        <f>'[1]特别隐藏版（勿动、勿看）'!H97</f>
        <v>0</v>
      </c>
      <c r="I97" s="70">
        <f>'[1]特别隐藏版（勿动、勿看）'!I97</f>
        <v>0</v>
      </c>
      <c r="J97" s="70">
        <f>'[1]特别隐藏版（勿动、勿看）'!J97</f>
        <v>0</v>
      </c>
      <c r="K97" s="70">
        <f>'[1]特别隐藏版（勿动、勿看）'!K97</f>
        <v>0</v>
      </c>
      <c r="L97" s="70">
        <f>'[1]特别隐藏版（勿动、勿看）'!L97</f>
        <v>0</v>
      </c>
      <c r="M97" s="70">
        <f>'[1]特别隐藏版（勿动、勿看）'!M97</f>
        <v>0</v>
      </c>
      <c r="N97" s="70">
        <f>'[1]特别隐藏版（勿动、勿看）'!N97</f>
        <v>0</v>
      </c>
      <c r="O97" s="70">
        <f>'[1]特别隐藏版（勿动、勿看）'!O97</f>
        <v>0</v>
      </c>
    </row>
    <row r="98" s="67" customFormat="1" spans="1:15">
      <c r="A98" s="73">
        <f>'[1]特别隐藏版（勿动、勿看）'!A98</f>
        <v>0</v>
      </c>
      <c r="B98" s="70" t="str">
        <f>'[1]特别隐藏版（勿动、勿看）'!B98</f>
        <v>GSV完成</v>
      </c>
      <c r="C98" s="70">
        <f>'[1]特别隐藏版（勿动、勿看）'!C98</f>
        <v>0</v>
      </c>
      <c r="D98" s="70">
        <f>'[1]特别隐藏版（勿动、勿看）'!D98</f>
        <v>0</v>
      </c>
      <c r="E98" s="70">
        <f>'[1]特别隐藏版（勿动、勿看）'!E98</f>
        <v>0</v>
      </c>
      <c r="F98" s="70">
        <f>'[1]特别隐藏版（勿动、勿看）'!F98</f>
        <v>0</v>
      </c>
      <c r="G98" s="70">
        <f>'[1]特别隐藏版（勿动、勿看）'!G98</f>
        <v>0</v>
      </c>
      <c r="H98" s="70">
        <f>'[1]特别隐藏版（勿动、勿看）'!H98</f>
        <v>0</v>
      </c>
      <c r="I98" s="70">
        <f>'[1]特别隐藏版（勿动、勿看）'!I98</f>
        <v>0</v>
      </c>
      <c r="J98" s="70">
        <f>'[1]特别隐藏版（勿动、勿看）'!J98</f>
        <v>0</v>
      </c>
      <c r="K98" s="70">
        <f>'[1]特别隐藏版（勿动、勿看）'!K98</f>
        <v>0</v>
      </c>
      <c r="L98" s="70">
        <f>'[1]特别隐藏版（勿动、勿看）'!L98</f>
        <v>0</v>
      </c>
      <c r="M98" s="70">
        <f>'[1]特别隐藏版（勿动、勿看）'!M98</f>
        <v>0</v>
      </c>
      <c r="N98" s="70">
        <f>'[1]特别隐藏版（勿动、勿看）'!N98</f>
        <v>0</v>
      </c>
      <c r="O98" s="70">
        <f>'[1]特别隐藏版（勿动、勿看）'!O98</f>
        <v>0</v>
      </c>
    </row>
    <row r="99" s="67" customFormat="1" spans="1:15">
      <c r="A99" s="73">
        <f>'[1]特别隐藏版（勿动、勿看）'!A99</f>
        <v>0</v>
      </c>
      <c r="B99" s="70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7" customFormat="1" spans="1:15">
      <c r="A100" s="73">
        <f>'[1]特别隐藏版（勿动、勿看）'!A100</f>
        <v>0</v>
      </c>
      <c r="B100" s="70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7" customFormat="1" spans="1:15">
      <c r="A101" s="78">
        <f>'[1]特别隐藏版（勿动、勿看）'!A101</f>
        <v>0</v>
      </c>
      <c r="B101" s="70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7" customFormat="1" spans="1:15">
      <c r="A102" s="72" t="str">
        <f>'[1]特别隐藏版（勿动、勿看）'!A102</f>
        <v>新店5</v>
      </c>
      <c r="B102" s="70" t="str">
        <f>'[1]特别隐藏版（勿动、勿看）'!B102</f>
        <v>实际利润（人民币）</v>
      </c>
      <c r="C102" s="70">
        <f>'[1]特别隐藏版（勿动、勿看）'!C102</f>
        <v>0</v>
      </c>
      <c r="D102" s="70">
        <f>'[1]特别隐藏版（勿动、勿看）'!D102</f>
        <v>0</v>
      </c>
      <c r="E102" s="70">
        <f>'[1]特别隐藏版（勿动、勿看）'!E102</f>
        <v>0</v>
      </c>
      <c r="F102" s="70">
        <f>'[1]特别隐藏版（勿动、勿看）'!F102</f>
        <v>0</v>
      </c>
      <c r="G102" s="70">
        <f>'[1]特别隐藏版（勿动、勿看）'!G102</f>
        <v>0</v>
      </c>
      <c r="H102" s="70">
        <f>'[1]特别隐藏版（勿动、勿看）'!H102</f>
        <v>0</v>
      </c>
      <c r="I102" s="70">
        <f>'[1]特别隐藏版（勿动、勿看）'!I102</f>
        <v>0</v>
      </c>
      <c r="J102" s="70">
        <f>'[1]特别隐藏版（勿动、勿看）'!J102</f>
        <v>0</v>
      </c>
      <c r="K102" s="70">
        <f>'[1]特别隐藏版（勿动、勿看）'!K102</f>
        <v>0</v>
      </c>
      <c r="L102" s="70">
        <f>'[1]特别隐藏版（勿动、勿看）'!L102</f>
        <v>0</v>
      </c>
      <c r="M102" s="70">
        <f>'[1]特别隐藏版（勿动、勿看）'!M102</f>
        <v>0</v>
      </c>
      <c r="N102" s="70">
        <f>'[1]特别隐藏版（勿动、勿看）'!N102</f>
        <v>0</v>
      </c>
      <c r="O102" s="70">
        <f>'[1]特别隐藏版（勿动、勿看）'!O102</f>
        <v>0</v>
      </c>
    </row>
    <row r="103" s="67" customFormat="1" spans="1:15">
      <c r="A103" s="73">
        <f>'[1]特别隐藏版（勿动、勿看）'!A103</f>
        <v>0</v>
      </c>
      <c r="B103" s="70" t="str">
        <f>'[1]特别隐藏版（勿动、勿看）'!B103</f>
        <v>销量完成</v>
      </c>
      <c r="C103" s="70">
        <f>'[1]特别隐藏版（勿动、勿看）'!C103</f>
        <v>0</v>
      </c>
      <c r="D103" s="70">
        <f>'[1]特别隐藏版（勿动、勿看）'!D103</f>
        <v>0</v>
      </c>
      <c r="E103" s="70">
        <f>'[1]特别隐藏版（勿动、勿看）'!E103</f>
        <v>0</v>
      </c>
      <c r="F103" s="70">
        <f>'[1]特别隐藏版（勿动、勿看）'!F103</f>
        <v>0</v>
      </c>
      <c r="G103" s="70">
        <f>'[1]特别隐藏版（勿动、勿看）'!G103</f>
        <v>0</v>
      </c>
      <c r="H103" s="70">
        <f>'[1]特别隐藏版（勿动、勿看）'!H103</f>
        <v>0</v>
      </c>
      <c r="I103" s="70">
        <f>'[1]特别隐藏版（勿动、勿看）'!I103</f>
        <v>0</v>
      </c>
      <c r="J103" s="70">
        <f>'[1]特别隐藏版（勿动、勿看）'!J103</f>
        <v>0</v>
      </c>
      <c r="K103" s="70">
        <f>'[1]特别隐藏版（勿动、勿看）'!K103</f>
        <v>0</v>
      </c>
      <c r="L103" s="70">
        <f>'[1]特别隐藏版（勿动、勿看）'!L103</f>
        <v>0</v>
      </c>
      <c r="M103" s="70">
        <f>'[1]特别隐藏版（勿动、勿看）'!M103</f>
        <v>0</v>
      </c>
      <c r="N103" s="70">
        <f>'[1]特别隐藏版（勿动、勿看）'!N103</f>
        <v>0</v>
      </c>
      <c r="O103" s="70">
        <f>'[1]特别隐藏版（勿动、勿看）'!O103</f>
        <v>0</v>
      </c>
    </row>
    <row r="104" s="67" customFormat="1" spans="1:15">
      <c r="A104" s="73">
        <f>'[1]特别隐藏版（勿动、勿看）'!A104</f>
        <v>0</v>
      </c>
      <c r="B104" s="70" t="str">
        <f>'[1]特别隐藏版（勿动、勿看）'!B104</f>
        <v>实销完成</v>
      </c>
      <c r="C104" s="70">
        <f>'[1]特别隐藏版（勿动、勿看）'!C104</f>
        <v>0</v>
      </c>
      <c r="D104" s="70">
        <f>'[1]特别隐藏版（勿动、勿看）'!D104</f>
        <v>0</v>
      </c>
      <c r="E104" s="70">
        <f>'[1]特别隐藏版（勿动、勿看）'!E104</f>
        <v>0</v>
      </c>
      <c r="F104" s="70">
        <f>'[1]特别隐藏版（勿动、勿看）'!F104</f>
        <v>0</v>
      </c>
      <c r="G104" s="70">
        <f>'[1]特别隐藏版（勿动、勿看）'!G104</f>
        <v>0</v>
      </c>
      <c r="H104" s="70">
        <f>'[1]特别隐藏版（勿动、勿看）'!H104</f>
        <v>0</v>
      </c>
      <c r="I104" s="70">
        <f>'[1]特别隐藏版（勿动、勿看）'!I104</f>
        <v>0</v>
      </c>
      <c r="J104" s="70">
        <f>'[1]特别隐藏版（勿动、勿看）'!J104</f>
        <v>0</v>
      </c>
      <c r="K104" s="70">
        <f>'[1]特别隐藏版（勿动、勿看）'!K104</f>
        <v>0</v>
      </c>
      <c r="L104" s="70">
        <f>'[1]特别隐藏版（勿动、勿看）'!L104</f>
        <v>0</v>
      </c>
      <c r="M104" s="70">
        <f>'[1]特别隐藏版（勿动、勿看）'!M104</f>
        <v>0</v>
      </c>
      <c r="N104" s="70">
        <f>'[1]特别隐藏版（勿动、勿看）'!N104</f>
        <v>0</v>
      </c>
      <c r="O104" s="70">
        <f>'[1]特别隐藏版（勿动、勿看）'!O104</f>
        <v>0</v>
      </c>
    </row>
    <row r="105" s="67" customFormat="1" spans="1:15">
      <c r="A105" s="73">
        <f>'[1]特别隐藏版（勿动、勿看）'!A105</f>
        <v>0</v>
      </c>
      <c r="B105" s="70" t="str">
        <f>'[1]特别隐藏版（勿动、勿看）'!B105</f>
        <v>GMV完成</v>
      </c>
      <c r="C105" s="70">
        <f>'[1]特别隐藏版（勿动、勿看）'!C105</f>
        <v>0</v>
      </c>
      <c r="D105" s="70">
        <f>'[1]特别隐藏版（勿动、勿看）'!D105</f>
        <v>0</v>
      </c>
      <c r="E105" s="70">
        <f>'[1]特别隐藏版（勿动、勿看）'!E105</f>
        <v>0</v>
      </c>
      <c r="F105" s="70">
        <f>'[1]特别隐藏版（勿动、勿看）'!F105</f>
        <v>0</v>
      </c>
      <c r="G105" s="70">
        <f>'[1]特别隐藏版（勿动、勿看）'!G105</f>
        <v>0</v>
      </c>
      <c r="H105" s="70">
        <f>'[1]特别隐藏版（勿动、勿看）'!H105</f>
        <v>0</v>
      </c>
      <c r="I105" s="70">
        <f>'[1]特别隐藏版（勿动、勿看）'!I105</f>
        <v>0</v>
      </c>
      <c r="J105" s="70">
        <f>'[1]特别隐藏版（勿动、勿看）'!J105</f>
        <v>0</v>
      </c>
      <c r="K105" s="70">
        <f>'[1]特别隐藏版（勿动、勿看）'!K105</f>
        <v>0</v>
      </c>
      <c r="L105" s="70">
        <f>'[1]特别隐藏版（勿动、勿看）'!L105</f>
        <v>0</v>
      </c>
      <c r="M105" s="70">
        <f>'[1]特别隐藏版（勿动、勿看）'!M105</f>
        <v>0</v>
      </c>
      <c r="N105" s="70">
        <f>'[1]特别隐藏版（勿动、勿看）'!N105</f>
        <v>0</v>
      </c>
      <c r="O105" s="70">
        <f>'[1]特别隐藏版（勿动、勿看）'!O105</f>
        <v>0</v>
      </c>
    </row>
    <row r="106" s="67" customFormat="1" spans="1:15">
      <c r="A106" s="73">
        <f>'[1]特别隐藏版（勿动、勿看）'!A106</f>
        <v>0</v>
      </c>
      <c r="B106" s="70" t="str">
        <f>'[1]特别隐藏版（勿动、勿看）'!B106</f>
        <v>GSV完成</v>
      </c>
      <c r="C106" s="70">
        <f>'[1]特别隐藏版（勿动、勿看）'!C106</f>
        <v>0</v>
      </c>
      <c r="D106" s="70">
        <f>'[1]特别隐藏版（勿动、勿看）'!D106</f>
        <v>0</v>
      </c>
      <c r="E106" s="70">
        <f>'[1]特别隐藏版（勿动、勿看）'!E106</f>
        <v>0</v>
      </c>
      <c r="F106" s="70">
        <f>'[1]特别隐藏版（勿动、勿看）'!F106</f>
        <v>0</v>
      </c>
      <c r="G106" s="70">
        <f>'[1]特别隐藏版（勿动、勿看）'!G106</f>
        <v>0</v>
      </c>
      <c r="H106" s="70">
        <f>'[1]特别隐藏版（勿动、勿看）'!H106</f>
        <v>0</v>
      </c>
      <c r="I106" s="70">
        <f>'[1]特别隐藏版（勿动、勿看）'!I106</f>
        <v>0</v>
      </c>
      <c r="J106" s="70">
        <f>'[1]特别隐藏版（勿动、勿看）'!J106</f>
        <v>0</v>
      </c>
      <c r="K106" s="70">
        <f>'[1]特别隐藏版（勿动、勿看）'!K106</f>
        <v>0</v>
      </c>
      <c r="L106" s="70">
        <f>'[1]特别隐藏版（勿动、勿看）'!L106</f>
        <v>0</v>
      </c>
      <c r="M106" s="70">
        <f>'[1]特别隐藏版（勿动、勿看）'!M106</f>
        <v>0</v>
      </c>
      <c r="N106" s="70">
        <f>'[1]特别隐藏版（勿动、勿看）'!N106</f>
        <v>0</v>
      </c>
      <c r="O106" s="70">
        <f>'[1]特别隐藏版（勿动、勿看）'!O106</f>
        <v>0</v>
      </c>
    </row>
    <row r="107" s="67" customFormat="1" spans="1:15">
      <c r="A107" s="73">
        <f>'[1]特别隐藏版（勿动、勿看）'!A107</f>
        <v>0</v>
      </c>
      <c r="B107" s="70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7" customFormat="1" spans="1:15">
      <c r="A108" s="73">
        <f>'[1]特别隐藏版（勿动、勿看）'!A108</f>
        <v>0</v>
      </c>
      <c r="B108" s="70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7" customFormat="1" spans="1:15">
      <c r="A109" s="78">
        <f>'[1]特别隐藏版（勿动、勿看）'!A109</f>
        <v>0</v>
      </c>
      <c r="B109" s="70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7" customFormat="1" spans="1:15">
      <c r="A110" s="72" t="str">
        <f>'[1]特别隐藏版（勿动、勿看）'!A110</f>
        <v>新店6</v>
      </c>
      <c r="B110" s="70" t="str">
        <f>'[1]特别隐藏版（勿动、勿看）'!B110</f>
        <v>实际利润（人民币）</v>
      </c>
      <c r="C110" s="70">
        <f>'[1]特别隐藏版（勿动、勿看）'!C110</f>
        <v>0</v>
      </c>
      <c r="D110" s="70">
        <f>'[1]特别隐藏版（勿动、勿看）'!D110</f>
        <v>0</v>
      </c>
      <c r="E110" s="70">
        <f>'[1]特别隐藏版（勿动、勿看）'!E110</f>
        <v>0</v>
      </c>
      <c r="F110" s="70">
        <f>'[1]特别隐藏版（勿动、勿看）'!F110</f>
        <v>0</v>
      </c>
      <c r="G110" s="70">
        <f>'[1]特别隐藏版（勿动、勿看）'!G110</f>
        <v>0</v>
      </c>
      <c r="H110" s="70">
        <f>'[1]特别隐藏版（勿动、勿看）'!H110</f>
        <v>0</v>
      </c>
      <c r="I110" s="70">
        <f>'[1]特别隐藏版（勿动、勿看）'!I110</f>
        <v>0</v>
      </c>
      <c r="J110" s="70">
        <f>'[1]特别隐藏版（勿动、勿看）'!J110</f>
        <v>0</v>
      </c>
      <c r="K110" s="70">
        <f>'[1]特别隐藏版（勿动、勿看）'!K110</f>
        <v>0</v>
      </c>
      <c r="L110" s="70">
        <f>'[1]特别隐藏版（勿动、勿看）'!L110</f>
        <v>0</v>
      </c>
      <c r="M110" s="70">
        <f>'[1]特别隐藏版（勿动、勿看）'!M110</f>
        <v>0</v>
      </c>
      <c r="N110" s="70">
        <f>'[1]特别隐藏版（勿动、勿看）'!N110</f>
        <v>0</v>
      </c>
      <c r="O110" s="70">
        <f>'[1]特别隐藏版（勿动、勿看）'!O110</f>
        <v>0</v>
      </c>
    </row>
    <row r="111" s="67" customFormat="1" spans="1:15">
      <c r="A111" s="73">
        <f>'[1]特别隐藏版（勿动、勿看）'!A111</f>
        <v>0</v>
      </c>
      <c r="B111" s="70" t="str">
        <f>'[1]特别隐藏版（勿动、勿看）'!B111</f>
        <v>销量完成</v>
      </c>
      <c r="C111" s="70">
        <f>'[1]特别隐藏版（勿动、勿看）'!C111</f>
        <v>0</v>
      </c>
      <c r="D111" s="70">
        <f>'[1]特别隐藏版（勿动、勿看）'!D111</f>
        <v>0</v>
      </c>
      <c r="E111" s="70">
        <f>'[1]特别隐藏版（勿动、勿看）'!E111</f>
        <v>0</v>
      </c>
      <c r="F111" s="70">
        <f>'[1]特别隐藏版（勿动、勿看）'!F111</f>
        <v>0</v>
      </c>
      <c r="G111" s="70">
        <f>'[1]特别隐藏版（勿动、勿看）'!G111</f>
        <v>0</v>
      </c>
      <c r="H111" s="70">
        <f>'[1]特别隐藏版（勿动、勿看）'!H111</f>
        <v>0</v>
      </c>
      <c r="I111" s="70">
        <f>'[1]特别隐藏版（勿动、勿看）'!I111</f>
        <v>0</v>
      </c>
      <c r="J111" s="70">
        <f>'[1]特别隐藏版（勿动、勿看）'!J111</f>
        <v>0</v>
      </c>
      <c r="K111" s="70">
        <f>'[1]特别隐藏版（勿动、勿看）'!K111</f>
        <v>0</v>
      </c>
      <c r="L111" s="70">
        <f>'[1]特别隐藏版（勿动、勿看）'!L111</f>
        <v>0</v>
      </c>
      <c r="M111" s="70">
        <f>'[1]特别隐藏版（勿动、勿看）'!M111</f>
        <v>0</v>
      </c>
      <c r="N111" s="70">
        <f>'[1]特别隐藏版（勿动、勿看）'!N111</f>
        <v>0</v>
      </c>
      <c r="O111" s="70">
        <f>'[1]特别隐藏版（勿动、勿看）'!O111</f>
        <v>0</v>
      </c>
    </row>
    <row r="112" s="67" customFormat="1" spans="1:15">
      <c r="A112" s="73">
        <f>'[1]特别隐藏版（勿动、勿看）'!A112</f>
        <v>0</v>
      </c>
      <c r="B112" s="70" t="str">
        <f>'[1]特别隐藏版（勿动、勿看）'!B112</f>
        <v>实销完成</v>
      </c>
      <c r="C112" s="70">
        <f>'[1]特别隐藏版（勿动、勿看）'!C112</f>
        <v>0</v>
      </c>
      <c r="D112" s="70">
        <f>'[1]特别隐藏版（勿动、勿看）'!D112</f>
        <v>0</v>
      </c>
      <c r="E112" s="70">
        <f>'[1]特别隐藏版（勿动、勿看）'!E112</f>
        <v>0</v>
      </c>
      <c r="F112" s="70">
        <f>'[1]特别隐藏版（勿动、勿看）'!F112</f>
        <v>0</v>
      </c>
      <c r="G112" s="70">
        <f>'[1]特别隐藏版（勿动、勿看）'!G112</f>
        <v>0</v>
      </c>
      <c r="H112" s="70">
        <f>'[1]特别隐藏版（勿动、勿看）'!H112</f>
        <v>0</v>
      </c>
      <c r="I112" s="70">
        <f>'[1]特别隐藏版（勿动、勿看）'!I112</f>
        <v>0</v>
      </c>
      <c r="J112" s="70">
        <f>'[1]特别隐藏版（勿动、勿看）'!J112</f>
        <v>0</v>
      </c>
      <c r="K112" s="70">
        <f>'[1]特别隐藏版（勿动、勿看）'!K112</f>
        <v>0</v>
      </c>
      <c r="L112" s="70">
        <f>'[1]特别隐藏版（勿动、勿看）'!L112</f>
        <v>0</v>
      </c>
      <c r="M112" s="70">
        <f>'[1]特别隐藏版（勿动、勿看）'!M112</f>
        <v>0</v>
      </c>
      <c r="N112" s="70">
        <f>'[1]特别隐藏版（勿动、勿看）'!N112</f>
        <v>0</v>
      </c>
      <c r="O112" s="70">
        <f>'[1]特别隐藏版（勿动、勿看）'!O112</f>
        <v>0</v>
      </c>
    </row>
    <row r="113" s="67" customFormat="1" spans="1:15">
      <c r="A113" s="73">
        <f>'[1]特别隐藏版（勿动、勿看）'!A113</f>
        <v>0</v>
      </c>
      <c r="B113" s="70" t="str">
        <f>'[1]特别隐藏版（勿动、勿看）'!B113</f>
        <v>GMV完成</v>
      </c>
      <c r="C113" s="70">
        <f>'[1]特别隐藏版（勿动、勿看）'!C113</f>
        <v>0</v>
      </c>
      <c r="D113" s="70">
        <f>'[1]特别隐藏版（勿动、勿看）'!D113</f>
        <v>0</v>
      </c>
      <c r="E113" s="70">
        <f>'[1]特别隐藏版（勿动、勿看）'!E113</f>
        <v>0</v>
      </c>
      <c r="F113" s="70">
        <f>'[1]特别隐藏版（勿动、勿看）'!F113</f>
        <v>0</v>
      </c>
      <c r="G113" s="70">
        <f>'[1]特别隐藏版（勿动、勿看）'!G113</f>
        <v>0</v>
      </c>
      <c r="H113" s="70">
        <f>'[1]特别隐藏版（勿动、勿看）'!H113</f>
        <v>0</v>
      </c>
      <c r="I113" s="70">
        <f>'[1]特别隐藏版（勿动、勿看）'!I113</f>
        <v>0</v>
      </c>
      <c r="J113" s="70">
        <f>'[1]特别隐藏版（勿动、勿看）'!J113</f>
        <v>0</v>
      </c>
      <c r="K113" s="70">
        <f>'[1]特别隐藏版（勿动、勿看）'!K113</f>
        <v>0</v>
      </c>
      <c r="L113" s="70">
        <f>'[1]特别隐藏版（勿动、勿看）'!L113</f>
        <v>0</v>
      </c>
      <c r="M113" s="70">
        <f>'[1]特别隐藏版（勿动、勿看）'!M113</f>
        <v>0</v>
      </c>
      <c r="N113" s="70">
        <f>'[1]特别隐藏版（勿动、勿看）'!N113</f>
        <v>0</v>
      </c>
      <c r="O113" s="70">
        <f>'[1]特别隐藏版（勿动、勿看）'!O113</f>
        <v>0</v>
      </c>
    </row>
    <row r="114" s="67" customFormat="1" spans="1:15">
      <c r="A114" s="73">
        <f>'[1]特别隐藏版（勿动、勿看）'!A114</f>
        <v>0</v>
      </c>
      <c r="B114" s="70" t="str">
        <f>'[1]特别隐藏版（勿动、勿看）'!B114</f>
        <v>GSV完成</v>
      </c>
      <c r="C114" s="70">
        <f>'[1]特别隐藏版（勿动、勿看）'!C114</f>
        <v>0</v>
      </c>
      <c r="D114" s="70">
        <f>'[1]特别隐藏版（勿动、勿看）'!D114</f>
        <v>0</v>
      </c>
      <c r="E114" s="70">
        <f>'[1]特别隐藏版（勿动、勿看）'!E114</f>
        <v>0</v>
      </c>
      <c r="F114" s="70">
        <f>'[1]特别隐藏版（勿动、勿看）'!F114</f>
        <v>0</v>
      </c>
      <c r="G114" s="70">
        <f>'[1]特别隐藏版（勿动、勿看）'!G114</f>
        <v>0</v>
      </c>
      <c r="H114" s="70">
        <f>'[1]特别隐藏版（勿动、勿看）'!H114</f>
        <v>0</v>
      </c>
      <c r="I114" s="70">
        <f>'[1]特别隐藏版（勿动、勿看）'!I114</f>
        <v>0</v>
      </c>
      <c r="J114" s="70">
        <f>'[1]特别隐藏版（勿动、勿看）'!J114</f>
        <v>0</v>
      </c>
      <c r="K114" s="70">
        <f>'[1]特别隐藏版（勿动、勿看）'!K114</f>
        <v>0</v>
      </c>
      <c r="L114" s="70">
        <f>'[1]特别隐藏版（勿动、勿看）'!L114</f>
        <v>0</v>
      </c>
      <c r="M114" s="70">
        <f>'[1]特别隐藏版（勿动、勿看）'!M114</f>
        <v>0</v>
      </c>
      <c r="N114" s="70">
        <f>'[1]特别隐藏版（勿动、勿看）'!N114</f>
        <v>0</v>
      </c>
      <c r="O114" s="70">
        <f>'[1]特别隐藏版（勿动、勿看）'!O114</f>
        <v>0</v>
      </c>
    </row>
    <row r="115" s="67" customFormat="1" spans="1:15">
      <c r="A115" s="73">
        <f>'[1]特别隐藏版（勿动、勿看）'!A115</f>
        <v>0</v>
      </c>
      <c r="B115" s="70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7" customFormat="1" spans="1:15">
      <c r="A116" s="73">
        <f>'[1]特别隐藏版（勿动、勿看）'!A116</f>
        <v>0</v>
      </c>
      <c r="B116" s="70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7" customFormat="1" spans="1:15">
      <c r="A117" s="78">
        <f>'[1]特别隐藏版（勿动、勿看）'!A117</f>
        <v>0</v>
      </c>
      <c r="B117" s="70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7" customFormat="1" spans="1:15">
      <c r="A118" s="72" t="str">
        <f>'[1]特别隐藏版（勿动、勿看）'!A118</f>
        <v>新店7</v>
      </c>
      <c r="B118" s="70" t="str">
        <f>'[1]特别隐藏版（勿动、勿看）'!B118</f>
        <v>实际利润（人民币）</v>
      </c>
      <c r="C118" s="70">
        <f>'[1]特别隐藏版（勿动、勿看）'!C118</f>
        <v>0</v>
      </c>
      <c r="D118" s="70">
        <f>'[1]特别隐藏版（勿动、勿看）'!D118</f>
        <v>0</v>
      </c>
      <c r="E118" s="70">
        <f>'[1]特别隐藏版（勿动、勿看）'!E118</f>
        <v>0</v>
      </c>
      <c r="F118" s="70">
        <f>'[1]特别隐藏版（勿动、勿看）'!F118</f>
        <v>0</v>
      </c>
      <c r="G118" s="70">
        <f>'[1]特别隐藏版（勿动、勿看）'!G118</f>
        <v>0</v>
      </c>
      <c r="H118" s="70">
        <f>'[1]特别隐藏版（勿动、勿看）'!H118</f>
        <v>0</v>
      </c>
      <c r="I118" s="70">
        <f>'[1]特别隐藏版（勿动、勿看）'!I118</f>
        <v>0</v>
      </c>
      <c r="J118" s="70">
        <f>'[1]特别隐藏版（勿动、勿看）'!J118</f>
        <v>0</v>
      </c>
      <c r="K118" s="70">
        <f>'[1]特别隐藏版（勿动、勿看）'!K118</f>
        <v>0</v>
      </c>
      <c r="L118" s="70">
        <f>'[1]特别隐藏版（勿动、勿看）'!L118</f>
        <v>0</v>
      </c>
      <c r="M118" s="70">
        <f>'[1]特别隐藏版（勿动、勿看）'!M118</f>
        <v>0</v>
      </c>
      <c r="N118" s="70">
        <f>'[1]特别隐藏版（勿动、勿看）'!N118</f>
        <v>0</v>
      </c>
      <c r="O118" s="70">
        <f>'[1]特别隐藏版（勿动、勿看）'!O118</f>
        <v>0</v>
      </c>
    </row>
    <row r="119" s="67" customFormat="1" spans="1:15">
      <c r="A119" s="73">
        <f>'[1]特别隐藏版（勿动、勿看）'!A119</f>
        <v>0</v>
      </c>
      <c r="B119" s="70" t="str">
        <f>'[1]特别隐藏版（勿动、勿看）'!B119</f>
        <v>销量完成</v>
      </c>
      <c r="C119" s="70">
        <f>'[1]特别隐藏版（勿动、勿看）'!C119</f>
        <v>0</v>
      </c>
      <c r="D119" s="70">
        <f>'[1]特别隐藏版（勿动、勿看）'!D119</f>
        <v>0</v>
      </c>
      <c r="E119" s="70">
        <f>'[1]特别隐藏版（勿动、勿看）'!E119</f>
        <v>0</v>
      </c>
      <c r="F119" s="70">
        <f>'[1]特别隐藏版（勿动、勿看）'!F119</f>
        <v>0</v>
      </c>
      <c r="G119" s="70">
        <f>'[1]特别隐藏版（勿动、勿看）'!G119</f>
        <v>0</v>
      </c>
      <c r="H119" s="70">
        <f>'[1]特别隐藏版（勿动、勿看）'!H119</f>
        <v>0</v>
      </c>
      <c r="I119" s="70">
        <f>'[1]特别隐藏版（勿动、勿看）'!I119</f>
        <v>0</v>
      </c>
      <c r="J119" s="70">
        <f>'[1]特别隐藏版（勿动、勿看）'!J119</f>
        <v>0</v>
      </c>
      <c r="K119" s="70">
        <f>'[1]特别隐藏版（勿动、勿看）'!K119</f>
        <v>0</v>
      </c>
      <c r="L119" s="70">
        <f>'[1]特别隐藏版（勿动、勿看）'!L119</f>
        <v>0</v>
      </c>
      <c r="M119" s="70">
        <f>'[1]特别隐藏版（勿动、勿看）'!M119</f>
        <v>0</v>
      </c>
      <c r="N119" s="70">
        <f>'[1]特别隐藏版（勿动、勿看）'!N119</f>
        <v>0</v>
      </c>
      <c r="O119" s="70">
        <f>'[1]特别隐藏版（勿动、勿看）'!O119</f>
        <v>0</v>
      </c>
    </row>
    <row r="120" s="67" customFormat="1" spans="1:15">
      <c r="A120" s="73">
        <f>'[1]特别隐藏版（勿动、勿看）'!A120</f>
        <v>0</v>
      </c>
      <c r="B120" s="70" t="str">
        <f>'[1]特别隐藏版（勿动、勿看）'!B120</f>
        <v>实销完成</v>
      </c>
      <c r="C120" s="70">
        <f>'[1]特别隐藏版（勿动、勿看）'!C120</f>
        <v>0</v>
      </c>
      <c r="D120" s="70">
        <f>'[1]特别隐藏版（勿动、勿看）'!D120</f>
        <v>0</v>
      </c>
      <c r="E120" s="70">
        <f>'[1]特别隐藏版（勿动、勿看）'!E120</f>
        <v>0</v>
      </c>
      <c r="F120" s="70">
        <f>'[1]特别隐藏版（勿动、勿看）'!F120</f>
        <v>0</v>
      </c>
      <c r="G120" s="70">
        <f>'[1]特别隐藏版（勿动、勿看）'!G120</f>
        <v>0</v>
      </c>
      <c r="H120" s="70">
        <f>'[1]特别隐藏版（勿动、勿看）'!H120</f>
        <v>0</v>
      </c>
      <c r="I120" s="70">
        <f>'[1]特别隐藏版（勿动、勿看）'!I120</f>
        <v>0</v>
      </c>
      <c r="J120" s="70">
        <f>'[1]特别隐藏版（勿动、勿看）'!J120</f>
        <v>0</v>
      </c>
      <c r="K120" s="70">
        <f>'[1]特别隐藏版（勿动、勿看）'!K120</f>
        <v>0</v>
      </c>
      <c r="L120" s="70">
        <f>'[1]特别隐藏版（勿动、勿看）'!L120</f>
        <v>0</v>
      </c>
      <c r="M120" s="70">
        <f>'[1]特别隐藏版（勿动、勿看）'!M120</f>
        <v>0</v>
      </c>
      <c r="N120" s="70">
        <f>'[1]特别隐藏版（勿动、勿看）'!N120</f>
        <v>0</v>
      </c>
      <c r="O120" s="70">
        <f>'[1]特别隐藏版（勿动、勿看）'!O120</f>
        <v>0</v>
      </c>
    </row>
    <row r="121" s="67" customFormat="1" spans="1:15">
      <c r="A121" s="73">
        <f>'[1]特别隐藏版（勿动、勿看）'!A121</f>
        <v>0</v>
      </c>
      <c r="B121" s="70" t="str">
        <f>'[1]特别隐藏版（勿动、勿看）'!B121</f>
        <v>GMV完成</v>
      </c>
      <c r="C121" s="70">
        <f>'[1]特别隐藏版（勿动、勿看）'!C121</f>
        <v>0</v>
      </c>
      <c r="D121" s="70">
        <f>'[1]特别隐藏版（勿动、勿看）'!D121</f>
        <v>0</v>
      </c>
      <c r="E121" s="70">
        <f>'[1]特别隐藏版（勿动、勿看）'!E121</f>
        <v>0</v>
      </c>
      <c r="F121" s="70">
        <f>'[1]特别隐藏版（勿动、勿看）'!F121</f>
        <v>0</v>
      </c>
      <c r="G121" s="70">
        <f>'[1]特别隐藏版（勿动、勿看）'!G121</f>
        <v>0</v>
      </c>
      <c r="H121" s="70">
        <f>'[1]特别隐藏版（勿动、勿看）'!H121</f>
        <v>0</v>
      </c>
      <c r="I121" s="70">
        <f>'[1]特别隐藏版（勿动、勿看）'!I121</f>
        <v>0</v>
      </c>
      <c r="J121" s="70">
        <f>'[1]特别隐藏版（勿动、勿看）'!J121</f>
        <v>0</v>
      </c>
      <c r="K121" s="70">
        <f>'[1]特别隐藏版（勿动、勿看）'!K121</f>
        <v>0</v>
      </c>
      <c r="L121" s="70">
        <f>'[1]特别隐藏版（勿动、勿看）'!L121</f>
        <v>0</v>
      </c>
      <c r="M121" s="70">
        <f>'[1]特别隐藏版（勿动、勿看）'!M121</f>
        <v>0</v>
      </c>
      <c r="N121" s="70">
        <f>'[1]特别隐藏版（勿动、勿看）'!N121</f>
        <v>0</v>
      </c>
      <c r="O121" s="70">
        <f>'[1]特别隐藏版（勿动、勿看）'!O121</f>
        <v>0</v>
      </c>
    </row>
    <row r="122" s="67" customFormat="1" spans="1:15">
      <c r="A122" s="73">
        <f>'[1]特别隐藏版（勿动、勿看）'!A122</f>
        <v>0</v>
      </c>
      <c r="B122" s="70" t="str">
        <f>'[1]特别隐藏版（勿动、勿看）'!B122</f>
        <v>GSV完成</v>
      </c>
      <c r="C122" s="70">
        <f>'[1]特别隐藏版（勿动、勿看）'!C122</f>
        <v>0</v>
      </c>
      <c r="D122" s="70">
        <f>'[1]特别隐藏版（勿动、勿看）'!D122</f>
        <v>0</v>
      </c>
      <c r="E122" s="70">
        <f>'[1]特别隐藏版（勿动、勿看）'!E122</f>
        <v>0</v>
      </c>
      <c r="F122" s="70">
        <f>'[1]特别隐藏版（勿动、勿看）'!F122</f>
        <v>0</v>
      </c>
      <c r="G122" s="70">
        <f>'[1]特别隐藏版（勿动、勿看）'!G122</f>
        <v>0</v>
      </c>
      <c r="H122" s="70">
        <f>'[1]特别隐藏版（勿动、勿看）'!H122</f>
        <v>0</v>
      </c>
      <c r="I122" s="70">
        <f>'[1]特别隐藏版（勿动、勿看）'!I122</f>
        <v>0</v>
      </c>
      <c r="J122" s="70">
        <f>'[1]特别隐藏版（勿动、勿看）'!J122</f>
        <v>0</v>
      </c>
      <c r="K122" s="70">
        <f>'[1]特别隐藏版（勿动、勿看）'!K122</f>
        <v>0</v>
      </c>
      <c r="L122" s="70">
        <f>'[1]特别隐藏版（勿动、勿看）'!L122</f>
        <v>0</v>
      </c>
      <c r="M122" s="70">
        <f>'[1]特别隐藏版（勿动、勿看）'!M122</f>
        <v>0</v>
      </c>
      <c r="N122" s="70">
        <f>'[1]特别隐藏版（勿动、勿看）'!N122</f>
        <v>0</v>
      </c>
      <c r="O122" s="70">
        <f>'[1]特别隐藏版（勿动、勿看）'!O122</f>
        <v>0</v>
      </c>
    </row>
    <row r="123" s="67" customFormat="1" spans="1:15">
      <c r="A123" s="73">
        <f>'[1]特别隐藏版（勿动、勿看）'!A123</f>
        <v>0</v>
      </c>
      <c r="B123" s="70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7" customFormat="1" spans="1:15">
      <c r="A124" s="73">
        <f>'[1]特别隐藏版（勿动、勿看）'!A124</f>
        <v>0</v>
      </c>
      <c r="B124" s="70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7" customFormat="1" spans="1:15">
      <c r="A125" s="78">
        <f>'[1]特别隐藏版（勿动、勿看）'!A125</f>
        <v>0</v>
      </c>
      <c r="B125" s="70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7" customFormat="1" spans="1:15">
      <c r="A126" s="70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0">
        <f>'[1]特别隐藏版（勿动、勿看）'!C126</f>
        <v>72321.76</v>
      </c>
      <c r="D126" s="70">
        <f>'[1]特别隐藏版（勿动、勿看）'!D126</f>
        <v>95377.43</v>
      </c>
      <c r="E126" s="70">
        <f>'[1]特别隐藏版（勿动、勿看）'!E126</f>
        <v>61256.54</v>
      </c>
      <c r="F126" s="70">
        <f>'[1]特别隐藏版（勿动、勿看）'!F126</f>
        <v>56073.62</v>
      </c>
      <c r="G126" s="70">
        <f>'[1]特别隐藏版（勿动、勿看）'!G126</f>
        <v>50110.01743891</v>
      </c>
      <c r="H126" s="70">
        <f>'[1]特别隐藏版（勿动、勿看）'!H126</f>
        <v>32496.529391726</v>
      </c>
      <c r="I126" s="70">
        <f>'[1]特别隐藏版（勿动、勿看）'!I126</f>
        <v>0</v>
      </c>
      <c r="J126" s="70">
        <f>'[1]特别隐藏版（勿动、勿看）'!J126</f>
        <v>0</v>
      </c>
      <c r="K126" s="70">
        <f>'[1]特别隐藏版（勿动、勿看）'!K126</f>
        <v>0</v>
      </c>
      <c r="L126" s="70">
        <f>'[1]特别隐藏版（勿动、勿看）'!L126</f>
        <v>0</v>
      </c>
      <c r="M126" s="70">
        <f>'[1]特别隐藏版（勿动、勿看）'!M126</f>
        <v>0</v>
      </c>
      <c r="N126" s="70">
        <f>'[1]特别隐藏版（勿动、勿看）'!N126</f>
        <v>0</v>
      </c>
      <c r="O126" s="70">
        <f>'[1]特别隐藏版（勿动、勿看）'!O126</f>
        <v>367635.896830636</v>
      </c>
    </row>
    <row r="127" s="67" customFormat="1" spans="1:15">
      <c r="A127" s="70">
        <f>'[1]特别隐藏版（勿动、勿看）'!A127</f>
        <v>0</v>
      </c>
      <c r="B127" s="116" t="str">
        <f>'[1]特别隐藏版（勿动、勿看）'!B127</f>
        <v>销量完成</v>
      </c>
      <c r="C127" s="70">
        <f>'[1]特别隐藏版（勿动、勿看）'!C127</f>
        <v>2973</v>
      </c>
      <c r="D127" s="70">
        <f>'[1]特别隐藏版（勿动、勿看）'!D127</f>
        <v>4432</v>
      </c>
      <c r="E127" s="70">
        <f>'[1]特别隐藏版（勿动、勿看）'!E127</f>
        <v>2846</v>
      </c>
      <c r="F127" s="70">
        <f>'[1]特别隐藏版（勿动、勿看）'!F127</f>
        <v>3125</v>
      </c>
      <c r="G127" s="70">
        <f>'[1]特别隐藏版（勿动、勿看）'!G127</f>
        <v>1662</v>
      </c>
      <c r="H127" s="70">
        <f>'[1]特别隐藏版（勿动、勿看）'!H127</f>
        <v>1102</v>
      </c>
      <c r="I127" s="70">
        <f>'[1]特别隐藏版（勿动、勿看）'!I127</f>
        <v>0</v>
      </c>
      <c r="J127" s="70">
        <f>'[1]特别隐藏版（勿动、勿看）'!J127</f>
        <v>0</v>
      </c>
      <c r="K127" s="70">
        <f>'[1]特别隐藏版（勿动、勿看）'!K127</f>
        <v>0</v>
      </c>
      <c r="L127" s="70">
        <f>'[1]特别隐藏版（勿动、勿看）'!L127</f>
        <v>0</v>
      </c>
      <c r="M127" s="70">
        <f>'[1]特别隐藏版（勿动、勿看）'!M127</f>
        <v>0</v>
      </c>
      <c r="N127" s="70">
        <f>'[1]特别隐藏版（勿动、勿看）'!N127</f>
        <v>0</v>
      </c>
      <c r="O127" s="70">
        <f>'[1]特别隐藏版（勿动、勿看）'!O127</f>
        <v>16140</v>
      </c>
    </row>
    <row r="128" s="67" customFormat="1" spans="1:15">
      <c r="A128" s="70">
        <f>'[1]特别隐藏版（勿动、勿看）'!A128</f>
        <v>0</v>
      </c>
      <c r="B128" s="116" t="str">
        <f>'[1]特别隐藏版（勿动、勿看）'!B128</f>
        <v>实销完成</v>
      </c>
      <c r="C128" s="70">
        <f>'[1]特别隐藏版（勿动、勿看）'!C128</f>
        <v>1142</v>
      </c>
      <c r="D128" s="70">
        <f>'[1]特别隐藏版（勿动、勿看）'!D128</f>
        <v>1591</v>
      </c>
      <c r="E128" s="70">
        <f>'[1]特别隐藏版（勿动、勿看）'!E128</f>
        <v>1078</v>
      </c>
      <c r="F128" s="70">
        <f>'[1]特别隐藏版（勿动、勿看）'!F128</f>
        <v>1163</v>
      </c>
      <c r="G128" s="70">
        <f>'[1]特别隐藏版（勿动、勿看）'!G128</f>
        <v>687</v>
      </c>
      <c r="H128" s="70">
        <f>'[1]特别隐藏版（勿动、勿看）'!H128</f>
        <v>468</v>
      </c>
      <c r="I128" s="70">
        <f>'[1]特别隐藏版（勿动、勿看）'!I128</f>
        <v>0</v>
      </c>
      <c r="J128" s="70">
        <f>'[1]特别隐藏版（勿动、勿看）'!J128</f>
        <v>0</v>
      </c>
      <c r="K128" s="70">
        <f>'[1]特别隐藏版（勿动、勿看）'!K128</f>
        <v>0</v>
      </c>
      <c r="L128" s="70">
        <f>'[1]特别隐藏版（勿动、勿看）'!L128</f>
        <v>0</v>
      </c>
      <c r="M128" s="70">
        <f>'[1]特别隐藏版（勿动、勿看）'!M128</f>
        <v>0</v>
      </c>
      <c r="N128" s="70">
        <f>'[1]特别隐藏版（勿动、勿看）'!N128</f>
        <v>0</v>
      </c>
      <c r="O128" s="70">
        <f>'[1]特别隐藏版（勿动、勿看）'!O128</f>
        <v>6129</v>
      </c>
    </row>
    <row r="129" s="67" customFormat="1" spans="1:15">
      <c r="A129" s="70">
        <f>'[1]特别隐藏版（勿动、勿看）'!A129</f>
        <v>0</v>
      </c>
      <c r="B129" s="116" t="str">
        <f>'[1]特别隐藏版（勿动、勿看）'!B129</f>
        <v>GMV完成</v>
      </c>
      <c r="C129" s="70">
        <f>'[1]特别隐藏版（勿动、勿看）'!C129</f>
        <v>12655308</v>
      </c>
      <c r="D129" s="70">
        <f>'[1]特别隐藏版（勿动、勿看）'!D129</f>
        <v>16371284</v>
      </c>
      <c r="E129" s="70">
        <f>'[1]特别隐藏版（勿动、勿看）'!E129</f>
        <v>12300849</v>
      </c>
      <c r="F129" s="70">
        <f>'[1]特别隐藏版（勿动、勿看）'!F129</f>
        <v>12576283</v>
      </c>
      <c r="G129" s="70">
        <f>'[1]特别隐藏版（勿动、勿看）'!G129</f>
        <v>6966652</v>
      </c>
      <c r="H129" s="70">
        <f>'[1]特别隐藏版（勿动、勿看）'!H129</f>
        <v>5552573</v>
      </c>
      <c r="I129" s="70">
        <f>'[1]特别隐藏版（勿动、勿看）'!I129</f>
        <v>0</v>
      </c>
      <c r="J129" s="70">
        <f>'[1]特别隐藏版（勿动、勿看）'!J129</f>
        <v>0</v>
      </c>
      <c r="K129" s="70">
        <f>'[1]特别隐藏版（勿动、勿看）'!K129</f>
        <v>0</v>
      </c>
      <c r="L129" s="70">
        <f>'[1]特别隐藏版（勿动、勿看）'!L129</f>
        <v>0</v>
      </c>
      <c r="M129" s="70">
        <f>'[1]特别隐藏版（勿动、勿看）'!M129</f>
        <v>0</v>
      </c>
      <c r="N129" s="70">
        <f>'[1]特别隐藏版（勿动、勿看）'!N129</f>
        <v>0</v>
      </c>
      <c r="O129" s="70">
        <f>'[1]特别隐藏版（勿动、勿看）'!O129</f>
        <v>66422949</v>
      </c>
    </row>
    <row r="130" s="67" customFormat="1" spans="1:15">
      <c r="A130" s="70">
        <f>'[1]特别隐藏版（勿动、勿看）'!A130</f>
        <v>0</v>
      </c>
      <c r="B130" s="116" t="str">
        <f>'[1]特别隐藏版（勿动、勿看）'!B130</f>
        <v>GSV完成</v>
      </c>
      <c r="C130" s="70">
        <f>'[1]特别隐藏版（勿动、勿看）'!C130</f>
        <v>407564.12</v>
      </c>
      <c r="D130" s="70">
        <f>'[1]特别隐藏版（勿动、勿看）'!D130</f>
        <v>570457.88</v>
      </c>
      <c r="E130" s="70">
        <f>'[1]特别隐藏版（勿动、勿看）'!E130</f>
        <v>395142.3</v>
      </c>
      <c r="F130" s="70">
        <f>'[1]特别隐藏版（勿动、勿看）'!F130</f>
        <v>435667.29</v>
      </c>
      <c r="G130" s="70">
        <f>'[1]特别隐藏版（勿动、勿看）'!G130</f>
        <v>271213.2648</v>
      </c>
      <c r="H130" s="70">
        <f>'[1]特别隐藏版（勿动、勿看）'!H130</f>
        <v>172890.2834</v>
      </c>
      <c r="I130" s="70">
        <f>'[1]特别隐藏版（勿动、勿看）'!I130</f>
        <v>0</v>
      </c>
      <c r="J130" s="70">
        <f>'[1]特别隐藏版（勿动、勿看）'!J130</f>
        <v>0</v>
      </c>
      <c r="K130" s="70">
        <f>'[1]特别隐藏版（勿动、勿看）'!K130</f>
        <v>0</v>
      </c>
      <c r="L130" s="70">
        <f>'[1]特别隐藏版（勿动、勿看）'!L130</f>
        <v>0</v>
      </c>
      <c r="M130" s="70">
        <f>'[1]特别隐藏版（勿动、勿看）'!M130</f>
        <v>0</v>
      </c>
      <c r="N130" s="70">
        <f>'[1]特别隐藏版（勿动、勿看）'!N130</f>
        <v>0</v>
      </c>
      <c r="O130" s="70">
        <f>'[1]特别隐藏版（勿动、勿看）'!O130</f>
        <v>2252935.1382</v>
      </c>
    </row>
    <row r="131" s="67" customFormat="1" spans="1:15">
      <c r="A131" s="70">
        <f>'[1]特别隐藏版（勿动、勿看）'!A131</f>
        <v>0</v>
      </c>
      <c r="B131" s="116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7" customFormat="1" spans="1:15">
      <c r="A132" s="70">
        <f>'[1]特别隐藏版（勿动、勿看）'!A132</f>
        <v>0</v>
      </c>
      <c r="B132" s="116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7" customFormat="1" spans="1:15">
      <c r="A133" s="70">
        <f>'[1]特别隐藏版（勿动、勿看）'!A133</f>
        <v>0</v>
      </c>
      <c r="B133" s="116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{5b4d1673-777b-4e73-a1ba-9c959f2c3114}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{f1828007-b8f8-448b-9b6e-cff48ee039ca}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{d9364f72-3c1c-4776-b58e-3e1290d701c2}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{b7da828b-92a8-47a5-8c40-6eed0578e0f8}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{bd2e04fc-455b-4aaf-95e8-f3ed1db2fd23}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{c58a39c2-ca6d-4e97-996e-2f05e3103812}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{3344892e-b6ef-4b3d-9e28-87ddbb856b65}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{e3d5075e-5afc-4228-8b77-12b2165bee2f}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{8c304f9f-fda9-4849-942a-e093e0cee47d}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{8c211a8c-0ad4-4705-9174-0f98d934f66f}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{3ba0ba88-a871-4f0f-a31c-72f51eb22617}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{994a9c67-1b4a-4871-844f-1fc9d81aa78f}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{2107e78f-920a-4464-beed-a44ba7fc94c4}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{b52972c3-8973-42e2-a610-90703a575aef}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{a9cf5b75-07d8-4d01-88ac-6156274238f7}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{93c43128-2298-4dbc-9061-5362525c88f2}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{3cc58bf4-1ef1-4927-ab71-f53e53d6183d}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{c78a05e8-c4ec-4bcb-8946-1f33e7181140}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{7bfd925e-3810-4151-87b4-89f5e0c36baf}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{793e1d50-5431-4a3c-a03a-2064a49061ff}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{4fcf6e40-59d6-4f90-8a4e-bbd25b34bd72}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{0c23cabe-cd0c-46e8-aad1-d8de9226f83c}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{9666fa35-bedf-4578-b54f-77e2c7476fd8}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{acd8429d-12db-4b2e-babe-da9cbf89b241}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{078bd162-de3f-4e00-8379-99e8f88fce13}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{b279f465-7ca9-4fae-bd56-9a034895169d}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{3375e580-4804-420c-acb8-b1c66755eb33}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{c0726d1c-8c6a-4855-8020-0e24fe58a87a}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{d01a08ae-64fd-4685-8b24-f679993e6b35}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{4290e7d1-a7fc-4582-8246-77710872b39e}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{e776de81-d943-4456-afb4-86d795c94756}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{5dab4271-c7f4-4bf5-99fe-263d297fc2b0}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{2e609aa8-cb30-4a09-8319-2e2b83341dda}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{fb112980-02d3-4227-be71-5e1c7e248d0a}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{eefcc3ef-4dd2-41f0-9be9-81a560a4a6c2}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{8369b2ec-cef4-46ac-9773-66b136f6c223}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{2fb75d1b-d144-4106-a64f-79bba3bb1b5e}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{fc27f3a4-9872-4d15-9792-d8db5625cfd8}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{fe0a760e-f46f-4152-9753-4497ba47a8d4}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{ba760814-98d9-42f0-bfb7-d9435ba2dfbf}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{44a7a5cd-b628-4091-a4c1-d5828c0ed208}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{0138e7c6-3b5f-48cd-9f19-e20aa03004c5}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{470d597e-54a4-470c-8b75-14a310ccbb42}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4d1673-777b-4e73-a1ba-9c959f2c31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f1828007-b8f8-448b-9b6e-cff48ee039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d9364f72-3c1c-4776-b58e-3e1290d701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7da828b-92a8-47a5-8c40-6eed0578e0f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bd2e04fc-455b-4aaf-95e8-f3ed1db2fd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c58a39c2-ca6d-4e97-996e-2f05e310381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3344892e-b6ef-4b3d-9e28-87ddbb856b6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e3d5075e-5afc-4228-8b77-12b2165bee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8c304f9f-fda9-4849-942a-e093e0cee4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8c211a8c-0ad4-4705-9174-0f98d934f6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3ba0ba88-a871-4f0f-a31c-72f51eb226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994a9c67-1b4a-4871-844f-1fc9d81aa7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2107e78f-920a-4464-beed-a44ba7fc94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b52972c3-8973-42e2-a610-90703a575a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a9cf5b75-07d8-4d01-88ac-6156274238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93c43128-2298-4dbc-9061-5362525c88f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3cc58bf4-1ef1-4927-ab71-f53e53d618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c78a05e8-c4ec-4bcb-8946-1f33e718114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7bfd925e-3810-4151-87b4-89f5e0c36b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793e1d50-5431-4a3c-a03a-2064a49061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4fcf6e40-59d6-4f90-8a4e-bbd25b34bd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0c23cabe-cd0c-46e8-aad1-d8de9226f83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9666fa35-bedf-4578-b54f-77e2c7476f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acd8429d-12db-4b2e-babe-da9cbf89b2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078bd162-de3f-4e00-8379-99e8f88fce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b279f465-7ca9-4fae-bd56-9a03489516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3375e580-4804-420c-acb8-b1c66755eb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c0726d1c-8c6a-4855-8020-0e24fe58a8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d01a08ae-64fd-4685-8b24-f679993e6b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4290e7d1-a7fc-4582-8246-77710872b39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e776de81-d943-4456-afb4-86d795c947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5dab4271-c7f4-4bf5-99fe-263d297fc2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2e609aa8-cb30-4a09-8319-2e2b83341d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fb112980-02d3-4227-be71-5e1c7e248d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eefcc3ef-4dd2-41f0-9be9-81a560a4a6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369b2ec-cef4-46ac-9773-66b136f6c2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2fb75d1b-d144-4106-a64f-79bba3bb1b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fc27f3a4-9872-4d15-9792-d8db5625cf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fe0a760e-f46f-4152-9753-4497ba47a8d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a760814-98d9-42f0-bfb7-d9435ba2df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44a7a5cd-b628-4091-a4c1-d5828c0ed2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0138e7c6-3b5f-48cd-9f19-e20aa03004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470d597e-54a4-470c-8b75-14a310ccbb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P24" sqref="P24"/>
    </sheetView>
  </sheetViews>
  <sheetFormatPr defaultColWidth="8.88888888888889" defaultRowHeight="15.6"/>
  <cols>
    <col min="1" max="1" width="14.1111111111111" style="37" customWidth="1"/>
    <col min="2" max="2" width="20.8888888888889" style="37" customWidth="1"/>
    <col min="3" max="14" width="15.1111111111111" style="37" customWidth="1"/>
    <col min="15" max="15" width="17.4444444444444" style="37" customWidth="1"/>
    <col min="16" max="16" width="15.6666666666667" style="37"/>
    <col min="17" max="16384" width="8.88888888888889" style="37"/>
  </cols>
  <sheetData>
    <row r="1" s="37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7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7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7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7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7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8">
        <f>'[2]2026年度男装数据汇总分析--俄罗斯'!O6</f>
        <v>8755270.40116587</v>
      </c>
    </row>
    <row r="7" s="37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7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7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7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7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7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7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7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6">
        <f>'[2]2026年度男装数据汇总分析--俄罗斯'!O14</f>
        <v>180070.32</v>
      </c>
    </row>
    <row r="15" s="37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7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7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7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7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7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7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7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7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7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7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7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0.289968258691773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0.323731208055765</v>
      </c>
    </row>
    <row r="27" s="37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7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7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7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7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7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7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7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7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7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7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7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7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7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7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7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7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7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7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7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7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7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7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7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7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7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7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7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7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7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7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7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7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7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7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7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7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7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7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7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7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7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7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7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7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7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7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7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7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7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7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7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7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7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7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7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7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7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7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7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7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7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7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7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7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7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7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7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7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7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7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7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7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7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7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7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7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7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7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7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7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7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7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7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7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7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7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7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7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7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7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7" customFormat="1" spans="1:15">
      <c r="A118" s="1" t="str">
        <f>'[2]2026年度男装数据汇总分析--俄罗斯'!A118</f>
        <v>核心三款</v>
      </c>
      <c r="B118" s="39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7" customFormat="1" spans="1:15">
      <c r="A119" s="1">
        <f>'[2]2026年度男装数据汇总分析--俄罗斯'!A119</f>
        <v>0</v>
      </c>
      <c r="B119" s="39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7" customFormat="1" spans="1:15">
      <c r="A120" s="1">
        <f>'[2]2026年度男装数据汇总分析--俄罗斯'!A120</f>
        <v>0</v>
      </c>
      <c r="B120" s="39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7" customFormat="1" spans="1:15">
      <c r="A121" s="1">
        <f>'[2]2026年度男装数据汇总分析--俄罗斯'!A121</f>
        <v>0</v>
      </c>
      <c r="B121" s="39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7" customFormat="1" spans="1:15">
      <c r="A122" s="1">
        <f>'[2]2026年度男装数据汇总分析--俄罗斯'!A122</f>
        <v>0</v>
      </c>
      <c r="B122" s="39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7" customFormat="1" spans="1:15">
      <c r="A123" s="1">
        <f>'[2]2026年度男装数据汇总分析--俄罗斯'!A123</f>
        <v>0</v>
      </c>
      <c r="B123" s="39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7" customFormat="1" spans="1:15">
      <c r="A124" s="1">
        <f>'[2]2026年度男装数据汇总分析--俄罗斯'!A124</f>
        <v>0</v>
      </c>
      <c r="B124" s="39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7" customFormat="1" spans="1:15">
      <c r="A125" s="1">
        <f>'[2]2026年度男装数据汇总分析--俄罗斯'!A125</f>
        <v>0</v>
      </c>
      <c r="B125" s="39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7">
        <f>'[2]2026年度男装数据汇总分析--俄罗斯'!A126</f>
        <v>0</v>
      </c>
      <c r="B126" s="37">
        <f>'[2]2026年度男装数据汇总分析--俄罗斯'!B126</f>
        <v>0</v>
      </c>
      <c r="C126" s="37">
        <f>'[2]2026年度男装数据汇总分析--俄罗斯'!C126</f>
        <v>0</v>
      </c>
      <c r="D126" s="37">
        <f>'[2]2026年度男装数据汇总分析--俄罗斯'!D126</f>
        <v>0</v>
      </c>
      <c r="E126" s="37">
        <f>'[2]2026年度男装数据汇总分析--俄罗斯'!E126</f>
        <v>0</v>
      </c>
      <c r="F126" s="37">
        <f>'[2]2026年度男装数据汇总分析--俄罗斯'!F126</f>
        <v>0</v>
      </c>
      <c r="G126" s="37">
        <f>'[2]2026年度男装数据汇总分析--俄罗斯'!G126</f>
        <v>0</v>
      </c>
      <c r="H126" s="37">
        <f>'[2]2026年度男装数据汇总分析--俄罗斯'!H126</f>
        <v>0</v>
      </c>
      <c r="I126" s="37">
        <f>'[2]2026年度男装数据汇总分析--俄罗斯'!I126</f>
        <v>0</v>
      </c>
      <c r="J126" s="37">
        <f>'[2]2026年度男装数据汇总分析--俄罗斯'!J126</f>
        <v>0</v>
      </c>
      <c r="K126" s="37">
        <f>'[2]2026年度男装数据汇总分析--俄罗斯'!K126</f>
        <v>0</v>
      </c>
      <c r="L126" s="37">
        <f>'[2]2026年度男装数据汇总分析--俄罗斯'!L126</f>
        <v>0</v>
      </c>
      <c r="M126" s="37">
        <f>'[2]2026年度男装数据汇总分析--俄罗斯'!M126</f>
        <v>0</v>
      </c>
      <c r="N126" s="37">
        <f>'[2]2026年度男装数据汇总分析--俄罗斯'!N126</f>
        <v>0</v>
      </c>
      <c r="O126" s="37">
        <f>'[2]2026年度男装数据汇总分析--俄罗斯'!O126</f>
        <v>0</v>
      </c>
    </row>
    <row r="127" spans="1:15">
      <c r="A127" s="37">
        <f>'[2]2026年度男装数据汇总分析--俄罗斯'!A127</f>
        <v>0</v>
      </c>
      <c r="B127" s="37">
        <f>'[2]2026年度男装数据汇总分析--俄罗斯'!B127</f>
        <v>0</v>
      </c>
      <c r="C127" s="37">
        <f>'[2]2026年度男装数据汇总分析--俄罗斯'!C127</f>
        <v>0</v>
      </c>
      <c r="D127" s="37">
        <f>'[2]2026年度男装数据汇总分析--俄罗斯'!D127</f>
        <v>0</v>
      </c>
      <c r="E127" s="37">
        <f>'[2]2026年度男装数据汇总分析--俄罗斯'!E127</f>
        <v>0</v>
      </c>
      <c r="F127" s="37">
        <f>'[2]2026年度男装数据汇总分析--俄罗斯'!F127</f>
        <v>0</v>
      </c>
      <c r="G127" s="37">
        <f>'[2]2026年度男装数据汇总分析--俄罗斯'!G127</f>
        <v>0</v>
      </c>
      <c r="H127" s="37">
        <f>'[2]2026年度男装数据汇总分析--俄罗斯'!H127</f>
        <v>0</v>
      </c>
      <c r="I127" s="37">
        <f>'[2]2026年度男装数据汇总分析--俄罗斯'!I127</f>
        <v>0</v>
      </c>
      <c r="J127" s="37">
        <f>'[2]2026年度男装数据汇总分析--俄罗斯'!J127</f>
        <v>0</v>
      </c>
      <c r="K127" s="37">
        <f>'[2]2026年度男装数据汇总分析--俄罗斯'!K127</f>
        <v>0</v>
      </c>
      <c r="L127" s="37">
        <f>'[2]2026年度男装数据汇总分析--俄罗斯'!L127</f>
        <v>0</v>
      </c>
      <c r="M127" s="37">
        <f>'[2]2026年度男装数据汇总分析--俄罗斯'!M127</f>
        <v>0</v>
      </c>
      <c r="N127" s="37">
        <f>'[2]2026年度男装数据汇总分析--俄罗斯'!N127</f>
        <v>0</v>
      </c>
      <c r="O127" s="37">
        <f>'[2]2026年度男装数据汇总分析--俄罗斯'!O127</f>
        <v>0</v>
      </c>
    </row>
    <row r="128" spans="1:15">
      <c r="A128" s="37">
        <f>'[2]2026年度男装数据汇总分析--俄罗斯'!A128</f>
        <v>0</v>
      </c>
      <c r="B128" s="37">
        <f>'[2]2026年度男装数据汇总分析--俄罗斯'!B128</f>
        <v>0</v>
      </c>
      <c r="C128" s="37">
        <f>'[2]2026年度男装数据汇总分析--俄罗斯'!C128</f>
        <v>0</v>
      </c>
      <c r="D128" s="37">
        <f>'[2]2026年度男装数据汇总分析--俄罗斯'!D128</f>
        <v>0</v>
      </c>
      <c r="E128" s="37">
        <f>'[2]2026年度男装数据汇总分析--俄罗斯'!E128</f>
        <v>0</v>
      </c>
      <c r="F128" s="37">
        <f>'[2]2026年度男装数据汇总分析--俄罗斯'!F128</f>
        <v>0</v>
      </c>
      <c r="G128" s="37">
        <f>'[2]2026年度男装数据汇总分析--俄罗斯'!G128</f>
        <v>0</v>
      </c>
      <c r="H128" s="37">
        <f>'[2]2026年度男装数据汇总分析--俄罗斯'!H128</f>
        <v>0</v>
      </c>
      <c r="I128" s="37">
        <f>'[2]2026年度男装数据汇总分析--俄罗斯'!I128</f>
        <v>0</v>
      </c>
      <c r="J128" s="37">
        <f>'[2]2026年度男装数据汇总分析--俄罗斯'!J128</f>
        <v>0</v>
      </c>
      <c r="K128" s="37">
        <f>'[2]2026年度男装数据汇总分析--俄罗斯'!K128</f>
        <v>0</v>
      </c>
      <c r="L128" s="37">
        <f>'[2]2026年度男装数据汇总分析--俄罗斯'!L128</f>
        <v>0</v>
      </c>
      <c r="M128" s="37">
        <f>'[2]2026年度男装数据汇总分析--俄罗斯'!M128</f>
        <v>0</v>
      </c>
      <c r="N128" s="37">
        <f>'[2]2026年度男装数据汇总分析--俄罗斯'!N128</f>
        <v>0</v>
      </c>
      <c r="O128" s="37">
        <f>'[2]2026年度男装数据汇总分析--俄罗斯'!O128</f>
        <v>0</v>
      </c>
    </row>
    <row r="129" spans="1:15">
      <c r="A129" s="37">
        <f>'[2]2026年度男装数据汇总分析--俄罗斯'!A129</f>
        <v>0</v>
      </c>
      <c r="B129" s="37">
        <f>'[2]2026年度男装数据汇总分析--俄罗斯'!B129</f>
        <v>0</v>
      </c>
      <c r="C129" s="37">
        <f>'[2]2026年度男装数据汇总分析--俄罗斯'!C129</f>
        <v>0</v>
      </c>
      <c r="D129" s="37">
        <f>'[2]2026年度男装数据汇总分析--俄罗斯'!D129</f>
        <v>0</v>
      </c>
      <c r="E129" s="37">
        <f>'[2]2026年度男装数据汇总分析--俄罗斯'!E129</f>
        <v>0</v>
      </c>
      <c r="F129" s="37">
        <f>'[2]2026年度男装数据汇总分析--俄罗斯'!F129</f>
        <v>0</v>
      </c>
      <c r="G129" s="37">
        <f>'[2]2026年度男装数据汇总分析--俄罗斯'!G129</f>
        <v>0</v>
      </c>
      <c r="H129" s="37">
        <f>'[2]2026年度男装数据汇总分析--俄罗斯'!H129</f>
        <v>0</v>
      </c>
      <c r="I129" s="37">
        <f>'[2]2026年度男装数据汇总分析--俄罗斯'!I129</f>
        <v>0</v>
      </c>
      <c r="J129" s="37">
        <f>'[2]2026年度男装数据汇总分析--俄罗斯'!J129</f>
        <v>0</v>
      </c>
      <c r="K129" s="37">
        <f>'[2]2026年度男装数据汇总分析--俄罗斯'!K129</f>
        <v>0</v>
      </c>
      <c r="L129" s="37">
        <f>'[2]2026年度男装数据汇总分析--俄罗斯'!L129</f>
        <v>0</v>
      </c>
      <c r="M129" s="37">
        <f>'[2]2026年度男装数据汇总分析--俄罗斯'!M129</f>
        <v>0</v>
      </c>
      <c r="N129" s="37">
        <f>'[2]2026年度男装数据汇总分析--俄罗斯'!N129</f>
        <v>0</v>
      </c>
      <c r="O129" s="37">
        <f>'[2]2026年度男装数据汇总分析--俄罗斯'!O129</f>
        <v>0</v>
      </c>
    </row>
    <row r="130" spans="1:15">
      <c r="A130" s="37">
        <f>'[2]2026年度男装数据汇总分析--俄罗斯'!A130</f>
        <v>0</v>
      </c>
      <c r="B130" s="37">
        <f>'[2]2026年度男装数据汇总分析--俄罗斯'!B130</f>
        <v>0</v>
      </c>
      <c r="C130" s="37">
        <f>'[2]2026年度男装数据汇总分析--俄罗斯'!C130</f>
        <v>0</v>
      </c>
      <c r="D130" s="37">
        <f>'[2]2026年度男装数据汇总分析--俄罗斯'!D130</f>
        <v>0</v>
      </c>
      <c r="E130" s="37">
        <f>'[2]2026年度男装数据汇总分析--俄罗斯'!E130</f>
        <v>0</v>
      </c>
      <c r="F130" s="37">
        <f>'[2]2026年度男装数据汇总分析--俄罗斯'!F130</f>
        <v>0</v>
      </c>
      <c r="G130" s="37">
        <f>'[2]2026年度男装数据汇总分析--俄罗斯'!G130</f>
        <v>0</v>
      </c>
      <c r="H130" s="37">
        <f>'[2]2026年度男装数据汇总分析--俄罗斯'!H130</f>
        <v>0</v>
      </c>
      <c r="I130" s="37">
        <f>'[2]2026年度男装数据汇总分析--俄罗斯'!I130</f>
        <v>0</v>
      </c>
      <c r="J130" s="37">
        <f>'[2]2026年度男装数据汇总分析--俄罗斯'!J130</f>
        <v>0</v>
      </c>
      <c r="K130" s="37">
        <f>'[2]2026年度男装数据汇总分析--俄罗斯'!K130</f>
        <v>0</v>
      </c>
      <c r="L130" s="37">
        <f>'[2]2026年度男装数据汇总分析--俄罗斯'!L130</f>
        <v>0</v>
      </c>
      <c r="M130" s="37">
        <f>'[2]2026年度男装数据汇总分析--俄罗斯'!M130</f>
        <v>0</v>
      </c>
      <c r="N130" s="37">
        <f>'[2]2026年度男装数据汇总分析--俄罗斯'!N130</f>
        <v>0</v>
      </c>
      <c r="O130" s="37">
        <f>'[2]2026年度男装数据汇总分析--俄罗斯'!O130</f>
        <v>0</v>
      </c>
    </row>
    <row r="131" spans="1:15">
      <c r="A131" s="37">
        <f>'[2]2026年度男装数据汇总分析--俄罗斯'!A131</f>
        <v>0</v>
      </c>
      <c r="B131" s="37">
        <f>'[2]2026年度男装数据汇总分析--俄罗斯'!B131</f>
        <v>0</v>
      </c>
      <c r="C131" s="37">
        <f>'[2]2026年度男装数据汇总分析--俄罗斯'!C131</f>
        <v>0</v>
      </c>
      <c r="D131" s="37">
        <f>'[2]2026年度男装数据汇总分析--俄罗斯'!D131</f>
        <v>0</v>
      </c>
      <c r="E131" s="37">
        <f>'[2]2026年度男装数据汇总分析--俄罗斯'!E131</f>
        <v>0</v>
      </c>
      <c r="F131" s="37">
        <f>'[2]2026年度男装数据汇总分析--俄罗斯'!F131</f>
        <v>0</v>
      </c>
      <c r="G131" s="37">
        <f>'[2]2026年度男装数据汇总分析--俄罗斯'!G131</f>
        <v>0</v>
      </c>
      <c r="H131" s="37">
        <f>'[2]2026年度男装数据汇总分析--俄罗斯'!H131</f>
        <v>0</v>
      </c>
      <c r="I131" s="37">
        <f>'[2]2026年度男装数据汇总分析--俄罗斯'!I131</f>
        <v>0</v>
      </c>
      <c r="J131" s="37">
        <f>'[2]2026年度男装数据汇总分析--俄罗斯'!J131</f>
        <v>0</v>
      </c>
      <c r="K131" s="37">
        <f>'[2]2026年度男装数据汇总分析--俄罗斯'!K131</f>
        <v>0</v>
      </c>
      <c r="L131" s="37">
        <f>'[2]2026年度男装数据汇总分析--俄罗斯'!L131</f>
        <v>0</v>
      </c>
      <c r="M131" s="37">
        <f>'[2]2026年度男装数据汇总分析--俄罗斯'!M131</f>
        <v>0</v>
      </c>
      <c r="N131" s="37">
        <f>'[2]2026年度男装数据汇总分析--俄罗斯'!N131</f>
        <v>0</v>
      </c>
      <c r="O131" s="37">
        <f>'[2]2026年度男装数据汇总分析--俄罗斯'!O131</f>
        <v>0</v>
      </c>
    </row>
    <row r="132" spans="1:15">
      <c r="A132" s="37">
        <f>'[2]2026年度男装数据汇总分析--俄罗斯'!A132</f>
        <v>0</v>
      </c>
      <c r="B132" s="37">
        <f>'[2]2026年度男装数据汇总分析--俄罗斯'!B132</f>
        <v>0</v>
      </c>
      <c r="C132" s="37">
        <f>'[2]2026年度男装数据汇总分析--俄罗斯'!C132</f>
        <v>0</v>
      </c>
      <c r="D132" s="37">
        <f>'[2]2026年度男装数据汇总分析--俄罗斯'!D132</f>
        <v>0</v>
      </c>
      <c r="E132" s="37">
        <f>'[2]2026年度男装数据汇总分析--俄罗斯'!E132</f>
        <v>0</v>
      </c>
      <c r="F132" s="37">
        <f>'[2]2026年度男装数据汇总分析--俄罗斯'!F132</f>
        <v>0</v>
      </c>
      <c r="G132" s="37">
        <f>'[2]2026年度男装数据汇总分析--俄罗斯'!G132</f>
        <v>0</v>
      </c>
      <c r="H132" s="37">
        <f>'[2]2026年度男装数据汇总分析--俄罗斯'!H132</f>
        <v>0</v>
      </c>
      <c r="I132" s="37">
        <f>'[2]2026年度男装数据汇总分析--俄罗斯'!I132</f>
        <v>0</v>
      </c>
      <c r="J132" s="37">
        <f>'[2]2026年度男装数据汇总分析--俄罗斯'!J132</f>
        <v>0</v>
      </c>
      <c r="K132" s="37">
        <f>'[2]2026年度男装数据汇总分析--俄罗斯'!K132</f>
        <v>0</v>
      </c>
      <c r="L132" s="37">
        <f>'[2]2026年度男装数据汇总分析--俄罗斯'!L132</f>
        <v>0</v>
      </c>
      <c r="M132" s="37">
        <f>'[2]2026年度男装数据汇总分析--俄罗斯'!M132</f>
        <v>0</v>
      </c>
      <c r="N132" s="37">
        <f>'[2]2026年度男装数据汇总分析--俄罗斯'!N132</f>
        <v>0</v>
      </c>
      <c r="O132" s="37">
        <f>'[2]2026年度男装数据汇总分析--俄罗斯'!O132</f>
        <v>0</v>
      </c>
    </row>
    <row r="133" spans="1:15">
      <c r="A133" s="37">
        <f>'[2]2026年度男装数据汇总分析--俄罗斯'!A133</f>
        <v>0</v>
      </c>
      <c r="B133" s="37">
        <f>'[2]2026年度男装数据汇总分析--俄罗斯'!B133</f>
        <v>0</v>
      </c>
      <c r="C133" s="37">
        <f>'[2]2026年度男装数据汇总分析--俄罗斯'!C133</f>
        <v>0</v>
      </c>
      <c r="D133" s="37">
        <f>'[2]2026年度男装数据汇总分析--俄罗斯'!D133</f>
        <v>0</v>
      </c>
      <c r="E133" s="37">
        <f>'[2]2026年度男装数据汇总分析--俄罗斯'!E133</f>
        <v>0</v>
      </c>
      <c r="F133" s="37">
        <f>'[2]2026年度男装数据汇总分析--俄罗斯'!F133</f>
        <v>0</v>
      </c>
      <c r="G133" s="37">
        <f>'[2]2026年度男装数据汇总分析--俄罗斯'!G133</f>
        <v>0</v>
      </c>
      <c r="H133" s="37">
        <f>'[2]2026年度男装数据汇总分析--俄罗斯'!H133</f>
        <v>0</v>
      </c>
      <c r="I133" s="37">
        <f>'[2]2026年度男装数据汇总分析--俄罗斯'!I133</f>
        <v>0</v>
      </c>
      <c r="J133" s="37">
        <f>'[2]2026年度男装数据汇总分析--俄罗斯'!J133</f>
        <v>0</v>
      </c>
      <c r="K133" s="37">
        <f>'[2]2026年度男装数据汇总分析--俄罗斯'!K133</f>
        <v>0</v>
      </c>
      <c r="L133" s="37">
        <f>'[2]2026年度男装数据汇总分析--俄罗斯'!L133</f>
        <v>0</v>
      </c>
      <c r="M133" s="37">
        <f>'[2]2026年度男装数据汇总分析--俄罗斯'!M133</f>
        <v>0</v>
      </c>
      <c r="N133" s="37">
        <f>'[2]2026年度男装数据汇总分析--俄罗斯'!N133</f>
        <v>0</v>
      </c>
      <c r="O133" s="37">
        <f>'[2]2026年度男装数据汇总分析--俄罗斯'!O133</f>
        <v>0</v>
      </c>
    </row>
    <row r="134" spans="1:15">
      <c r="A134" s="37">
        <f>'[2]2026年度男装数据汇总分析--俄罗斯'!A134</f>
        <v>0</v>
      </c>
      <c r="B134" s="37">
        <f>'[2]2026年度男装数据汇总分析--俄罗斯'!B134</f>
        <v>0</v>
      </c>
      <c r="C134" s="37">
        <f>'[2]2026年度男装数据汇总分析--俄罗斯'!C134</f>
        <v>0</v>
      </c>
      <c r="D134" s="37">
        <f>'[2]2026年度男装数据汇总分析--俄罗斯'!D134</f>
        <v>0</v>
      </c>
      <c r="E134" s="37">
        <f>'[2]2026年度男装数据汇总分析--俄罗斯'!E134</f>
        <v>0</v>
      </c>
      <c r="F134" s="37">
        <f>'[2]2026年度男装数据汇总分析--俄罗斯'!F134</f>
        <v>0</v>
      </c>
      <c r="G134" s="37">
        <f>'[2]2026年度男装数据汇总分析--俄罗斯'!G134</f>
        <v>0</v>
      </c>
      <c r="H134" s="37">
        <f>'[2]2026年度男装数据汇总分析--俄罗斯'!H134</f>
        <v>0</v>
      </c>
      <c r="I134" s="37">
        <f>'[2]2026年度男装数据汇总分析--俄罗斯'!I134</f>
        <v>0</v>
      </c>
      <c r="J134" s="37">
        <f>'[2]2026年度男装数据汇总分析--俄罗斯'!J134</f>
        <v>0</v>
      </c>
      <c r="K134" s="37">
        <f>'[2]2026年度男装数据汇总分析--俄罗斯'!K134</f>
        <v>0</v>
      </c>
      <c r="L134" s="37">
        <f>'[2]2026年度男装数据汇总分析--俄罗斯'!L134</f>
        <v>0</v>
      </c>
      <c r="M134" s="37">
        <f>'[2]2026年度男装数据汇总分析--俄罗斯'!M134</f>
        <v>0</v>
      </c>
      <c r="N134" s="37">
        <f>'[2]2026年度男装数据汇总分析--俄罗斯'!N134</f>
        <v>0</v>
      </c>
      <c r="O134" s="37">
        <f>'[2]2026年度男装数据汇总分析--俄罗斯'!O134</f>
        <v>0</v>
      </c>
    </row>
    <row r="135" spans="1:15">
      <c r="A135" s="37">
        <f>'[2]2026年度男装数据汇总分析--俄罗斯'!A135</f>
        <v>0</v>
      </c>
      <c r="B135" s="37">
        <f>'[2]2026年度男装数据汇总分析--俄罗斯'!B135</f>
        <v>0</v>
      </c>
      <c r="C135" s="37">
        <f>'[2]2026年度男装数据汇总分析--俄罗斯'!C135</f>
        <v>0</v>
      </c>
      <c r="D135" s="37">
        <f>'[2]2026年度男装数据汇总分析--俄罗斯'!D135</f>
        <v>0</v>
      </c>
      <c r="E135" s="37">
        <f>'[2]2026年度男装数据汇总分析--俄罗斯'!E135</f>
        <v>0</v>
      </c>
      <c r="F135" s="37">
        <f>'[2]2026年度男装数据汇总分析--俄罗斯'!F135</f>
        <v>0</v>
      </c>
      <c r="G135" s="37">
        <f>'[2]2026年度男装数据汇总分析--俄罗斯'!G135</f>
        <v>0</v>
      </c>
      <c r="H135" s="37">
        <f>'[2]2026年度男装数据汇总分析--俄罗斯'!H135</f>
        <v>0</v>
      </c>
      <c r="I135" s="37">
        <f>'[2]2026年度男装数据汇总分析--俄罗斯'!I135</f>
        <v>0</v>
      </c>
      <c r="J135" s="37">
        <f>'[2]2026年度男装数据汇总分析--俄罗斯'!J135</f>
        <v>0</v>
      </c>
      <c r="K135" s="37">
        <f>'[2]2026年度男装数据汇总分析--俄罗斯'!K135</f>
        <v>0</v>
      </c>
      <c r="L135" s="37">
        <f>'[2]2026年度男装数据汇总分析--俄罗斯'!L135</f>
        <v>0</v>
      </c>
      <c r="M135" s="37">
        <f>'[2]2026年度男装数据汇总分析--俄罗斯'!M135</f>
        <v>0</v>
      </c>
      <c r="N135" s="37">
        <f>'[2]2026年度男装数据汇总分析--俄罗斯'!N135</f>
        <v>0</v>
      </c>
      <c r="O135" s="37">
        <f>'[2]2026年度男装数据汇总分析--俄罗斯'!O135</f>
        <v>0</v>
      </c>
    </row>
    <row r="136" spans="1:15">
      <c r="A136" s="37">
        <f>'[2]2026年度男装数据汇总分析--俄罗斯'!A136</f>
        <v>0</v>
      </c>
      <c r="B136" s="37">
        <f>'[2]2026年度男装数据汇总分析--俄罗斯'!B136</f>
        <v>0</v>
      </c>
      <c r="C136" s="37">
        <f>'[2]2026年度男装数据汇总分析--俄罗斯'!C136</f>
        <v>0</v>
      </c>
      <c r="D136" s="37">
        <f>'[2]2026年度男装数据汇总分析--俄罗斯'!D136</f>
        <v>0</v>
      </c>
      <c r="E136" s="37">
        <f>'[2]2026年度男装数据汇总分析--俄罗斯'!E136</f>
        <v>0</v>
      </c>
      <c r="F136" s="37">
        <f>'[2]2026年度男装数据汇总分析--俄罗斯'!F136</f>
        <v>0</v>
      </c>
      <c r="G136" s="37">
        <f>'[2]2026年度男装数据汇总分析--俄罗斯'!G136</f>
        <v>0</v>
      </c>
      <c r="H136" s="37">
        <f>'[2]2026年度男装数据汇总分析--俄罗斯'!H136</f>
        <v>0</v>
      </c>
      <c r="I136" s="37">
        <f>'[2]2026年度男装数据汇总分析--俄罗斯'!I136</f>
        <v>0</v>
      </c>
      <c r="J136" s="37">
        <f>'[2]2026年度男装数据汇总分析--俄罗斯'!J136</f>
        <v>0</v>
      </c>
      <c r="K136" s="37">
        <f>'[2]2026年度男装数据汇总分析--俄罗斯'!K136</f>
        <v>0</v>
      </c>
      <c r="L136" s="37">
        <f>'[2]2026年度男装数据汇总分析--俄罗斯'!L136</f>
        <v>0</v>
      </c>
      <c r="M136" s="37">
        <f>'[2]2026年度男装数据汇总分析--俄罗斯'!M136</f>
        <v>0</v>
      </c>
      <c r="N136" s="37">
        <f>'[2]2026年度男装数据汇总分析--俄罗斯'!N136</f>
        <v>0</v>
      </c>
      <c r="O136" s="37">
        <f>'[2]2026年度男装数据汇总分析--俄罗斯'!O136</f>
        <v>0</v>
      </c>
    </row>
    <row r="137" spans="1:15">
      <c r="A137" s="37">
        <f>'[2]2026年度男装数据汇总分析--俄罗斯'!A137</f>
        <v>0</v>
      </c>
      <c r="B137" s="37">
        <f>'[2]2026年度男装数据汇总分析--俄罗斯'!B137</f>
        <v>0</v>
      </c>
      <c r="C137" s="37">
        <f>'[2]2026年度男装数据汇总分析--俄罗斯'!C137</f>
        <v>0</v>
      </c>
      <c r="D137" s="37">
        <f>'[2]2026年度男装数据汇总分析--俄罗斯'!D137</f>
        <v>0</v>
      </c>
      <c r="E137" s="37">
        <f>'[2]2026年度男装数据汇总分析--俄罗斯'!E137</f>
        <v>0</v>
      </c>
      <c r="F137" s="37">
        <f>'[2]2026年度男装数据汇总分析--俄罗斯'!F137</f>
        <v>0</v>
      </c>
      <c r="G137" s="37">
        <f>'[2]2026年度男装数据汇总分析--俄罗斯'!G137</f>
        <v>0</v>
      </c>
      <c r="H137" s="37">
        <f>'[2]2026年度男装数据汇总分析--俄罗斯'!H137</f>
        <v>0</v>
      </c>
      <c r="I137" s="37">
        <f>'[2]2026年度男装数据汇总分析--俄罗斯'!I137</f>
        <v>0</v>
      </c>
      <c r="J137" s="37">
        <f>'[2]2026年度男装数据汇总分析--俄罗斯'!J137</f>
        <v>0</v>
      </c>
      <c r="K137" s="37">
        <f>'[2]2026年度男装数据汇总分析--俄罗斯'!K137</f>
        <v>0</v>
      </c>
      <c r="L137" s="37">
        <f>'[2]2026年度男装数据汇总分析--俄罗斯'!L137</f>
        <v>0</v>
      </c>
      <c r="M137" s="37">
        <f>'[2]2026年度男装数据汇总分析--俄罗斯'!M137</f>
        <v>0</v>
      </c>
      <c r="N137" s="37">
        <f>'[2]2026年度男装数据汇总分析--俄罗斯'!N137</f>
        <v>0</v>
      </c>
      <c r="O137" s="37">
        <f>'[2]2026年度男装数据汇总分析--俄罗斯'!O137</f>
        <v>0</v>
      </c>
    </row>
    <row r="138" spans="1:15">
      <c r="A138" s="37">
        <f>'[2]2026年度男装数据汇总分析--俄罗斯'!A138</f>
        <v>0</v>
      </c>
      <c r="B138" s="37">
        <f>'[2]2026年度男装数据汇总分析--俄罗斯'!B138</f>
        <v>0</v>
      </c>
      <c r="C138" s="37">
        <f>'[2]2026年度男装数据汇总分析--俄罗斯'!C138</f>
        <v>0</v>
      </c>
      <c r="D138" s="37">
        <f>'[2]2026年度男装数据汇总分析--俄罗斯'!D138</f>
        <v>0</v>
      </c>
      <c r="E138" s="37">
        <f>'[2]2026年度男装数据汇总分析--俄罗斯'!E138</f>
        <v>0</v>
      </c>
      <c r="F138" s="37">
        <f>'[2]2026年度男装数据汇总分析--俄罗斯'!F138</f>
        <v>0</v>
      </c>
      <c r="G138" s="37">
        <f>'[2]2026年度男装数据汇总分析--俄罗斯'!G138</f>
        <v>0</v>
      </c>
      <c r="H138" s="37">
        <f>'[2]2026年度男装数据汇总分析--俄罗斯'!H138</f>
        <v>0</v>
      </c>
      <c r="I138" s="37">
        <f>'[2]2026年度男装数据汇总分析--俄罗斯'!I138</f>
        <v>0</v>
      </c>
      <c r="J138" s="37">
        <f>'[2]2026年度男装数据汇总分析--俄罗斯'!J138</f>
        <v>0</v>
      </c>
      <c r="K138" s="37">
        <f>'[2]2026年度男装数据汇总分析--俄罗斯'!K138</f>
        <v>0</v>
      </c>
      <c r="L138" s="37">
        <f>'[2]2026年度男装数据汇总分析--俄罗斯'!L138</f>
        <v>0</v>
      </c>
      <c r="M138" s="37">
        <f>'[2]2026年度男装数据汇总分析--俄罗斯'!M138</f>
        <v>0</v>
      </c>
      <c r="N138" s="37">
        <f>'[2]2026年度男装数据汇总分析--俄罗斯'!N138</f>
        <v>0</v>
      </c>
      <c r="O138" s="37">
        <f>'[2]2026年度男装数据汇总分析--俄罗斯'!O138</f>
        <v>0</v>
      </c>
    </row>
    <row r="139" spans="1:15">
      <c r="A139" s="37">
        <f>'[2]2026年度男装数据汇总分析--俄罗斯'!A139</f>
        <v>0</v>
      </c>
      <c r="B139" s="37">
        <f>'[2]2026年度男装数据汇总分析--俄罗斯'!B139</f>
        <v>0</v>
      </c>
      <c r="C139" s="37">
        <f>'[2]2026年度男装数据汇总分析--俄罗斯'!C139</f>
        <v>0</v>
      </c>
      <c r="D139" s="37">
        <f>'[2]2026年度男装数据汇总分析--俄罗斯'!D139</f>
        <v>0</v>
      </c>
      <c r="E139" s="37">
        <f>'[2]2026年度男装数据汇总分析--俄罗斯'!E139</f>
        <v>0</v>
      </c>
      <c r="F139" s="37">
        <f>'[2]2026年度男装数据汇总分析--俄罗斯'!F139</f>
        <v>0</v>
      </c>
      <c r="G139" s="37">
        <f>'[2]2026年度男装数据汇总分析--俄罗斯'!G139</f>
        <v>0</v>
      </c>
      <c r="H139" s="37">
        <f>'[2]2026年度男装数据汇总分析--俄罗斯'!H139</f>
        <v>0</v>
      </c>
      <c r="I139" s="37">
        <f>'[2]2026年度男装数据汇总分析--俄罗斯'!I139</f>
        <v>0</v>
      </c>
      <c r="J139" s="37">
        <f>'[2]2026年度男装数据汇总分析--俄罗斯'!J139</f>
        <v>0</v>
      </c>
      <c r="K139" s="37">
        <f>'[2]2026年度男装数据汇总分析--俄罗斯'!K139</f>
        <v>0</v>
      </c>
      <c r="L139" s="37">
        <f>'[2]2026年度男装数据汇总分析--俄罗斯'!L139</f>
        <v>0</v>
      </c>
      <c r="M139" s="37">
        <f>'[2]2026年度男装数据汇总分析--俄罗斯'!M139</f>
        <v>0</v>
      </c>
      <c r="N139" s="37">
        <f>'[2]2026年度男装数据汇总分析--俄罗斯'!N139</f>
        <v>0</v>
      </c>
      <c r="O139" s="37">
        <f>'[2]2026年度男装数据汇总分析--俄罗斯'!O139</f>
        <v>0</v>
      </c>
    </row>
    <row r="140" spans="1:15">
      <c r="A140" s="37">
        <f>'[2]2026年度男装数据汇总分析--俄罗斯'!A140</f>
        <v>0</v>
      </c>
      <c r="B140" s="37">
        <f>'[2]2026年度男装数据汇总分析--俄罗斯'!B140</f>
        <v>0</v>
      </c>
      <c r="C140" s="37">
        <f>'[2]2026年度男装数据汇总分析--俄罗斯'!C140</f>
        <v>0</v>
      </c>
      <c r="D140" s="37">
        <f>'[2]2026年度男装数据汇总分析--俄罗斯'!D140</f>
        <v>0</v>
      </c>
      <c r="E140" s="37">
        <f>'[2]2026年度男装数据汇总分析--俄罗斯'!E140</f>
        <v>0</v>
      </c>
      <c r="F140" s="37">
        <f>'[2]2026年度男装数据汇总分析--俄罗斯'!F140</f>
        <v>0</v>
      </c>
      <c r="G140" s="37">
        <f>'[2]2026年度男装数据汇总分析--俄罗斯'!G140</f>
        <v>0</v>
      </c>
      <c r="H140" s="37">
        <f>'[2]2026年度男装数据汇总分析--俄罗斯'!H140</f>
        <v>0</v>
      </c>
      <c r="I140" s="37">
        <f>'[2]2026年度男装数据汇总分析--俄罗斯'!I140</f>
        <v>0</v>
      </c>
      <c r="J140" s="37">
        <f>'[2]2026年度男装数据汇总分析--俄罗斯'!J140</f>
        <v>0</v>
      </c>
      <c r="K140" s="37">
        <f>'[2]2026年度男装数据汇总分析--俄罗斯'!K140</f>
        <v>0</v>
      </c>
      <c r="L140" s="37">
        <f>'[2]2026年度男装数据汇总分析--俄罗斯'!L140</f>
        <v>0</v>
      </c>
      <c r="M140" s="37">
        <f>'[2]2026年度男装数据汇总分析--俄罗斯'!M140</f>
        <v>0</v>
      </c>
      <c r="N140" s="37">
        <f>'[2]2026年度男装数据汇总分析--俄罗斯'!N140</f>
        <v>0</v>
      </c>
      <c r="O140" s="37">
        <f>'[2]2026年度男装数据汇总分析--俄罗斯'!O140</f>
        <v>0</v>
      </c>
    </row>
    <row r="141" spans="1:15">
      <c r="A141" s="37">
        <f>'[2]2026年度男装数据汇总分析--俄罗斯'!A141</f>
        <v>0</v>
      </c>
      <c r="B141" s="37">
        <f>'[2]2026年度男装数据汇总分析--俄罗斯'!B141</f>
        <v>0</v>
      </c>
      <c r="C141" s="37">
        <f>'[2]2026年度男装数据汇总分析--俄罗斯'!C141</f>
        <v>0</v>
      </c>
      <c r="D141" s="37">
        <f>'[2]2026年度男装数据汇总分析--俄罗斯'!D141</f>
        <v>0</v>
      </c>
      <c r="E141" s="37">
        <f>'[2]2026年度男装数据汇总分析--俄罗斯'!E141</f>
        <v>0</v>
      </c>
      <c r="F141" s="37">
        <f>'[2]2026年度男装数据汇总分析--俄罗斯'!F141</f>
        <v>0</v>
      </c>
      <c r="G141" s="37">
        <f>'[2]2026年度男装数据汇总分析--俄罗斯'!G141</f>
        <v>0</v>
      </c>
      <c r="H141" s="37">
        <f>'[2]2026年度男装数据汇总分析--俄罗斯'!H141</f>
        <v>0</v>
      </c>
      <c r="I141" s="37">
        <f>'[2]2026年度男装数据汇总分析--俄罗斯'!I141</f>
        <v>0</v>
      </c>
      <c r="J141" s="37">
        <f>'[2]2026年度男装数据汇总分析--俄罗斯'!J141</f>
        <v>0</v>
      </c>
      <c r="K141" s="37">
        <f>'[2]2026年度男装数据汇总分析--俄罗斯'!K141</f>
        <v>0</v>
      </c>
      <c r="L141" s="37">
        <f>'[2]2026年度男装数据汇总分析--俄罗斯'!L141</f>
        <v>0</v>
      </c>
      <c r="M141" s="37">
        <f>'[2]2026年度男装数据汇总分析--俄罗斯'!M141</f>
        <v>0</v>
      </c>
      <c r="N141" s="37">
        <f>'[2]2026年度男装数据汇总分析--俄罗斯'!N141</f>
        <v>0</v>
      </c>
      <c r="O141" s="37">
        <f>'[2]2026年度男装数据汇总分析--俄罗斯'!O141</f>
        <v>0</v>
      </c>
    </row>
    <row r="142" spans="1:15">
      <c r="A142" s="37">
        <f>'[2]2026年度男装数据汇总分析--俄罗斯'!A142</f>
        <v>0</v>
      </c>
      <c r="B142" s="37">
        <f>'[2]2026年度男装数据汇总分析--俄罗斯'!B142</f>
        <v>0</v>
      </c>
      <c r="C142" s="37">
        <f>'[2]2026年度男装数据汇总分析--俄罗斯'!C142</f>
        <v>0</v>
      </c>
      <c r="D142" s="37">
        <f>'[2]2026年度男装数据汇总分析--俄罗斯'!D142</f>
        <v>0</v>
      </c>
      <c r="E142" s="37">
        <f>'[2]2026年度男装数据汇总分析--俄罗斯'!E142</f>
        <v>0</v>
      </c>
      <c r="F142" s="37">
        <f>'[2]2026年度男装数据汇总分析--俄罗斯'!F142</f>
        <v>0</v>
      </c>
      <c r="G142" s="37">
        <f>'[2]2026年度男装数据汇总分析--俄罗斯'!G142</f>
        <v>0</v>
      </c>
      <c r="H142" s="37">
        <f>'[2]2026年度男装数据汇总分析--俄罗斯'!H142</f>
        <v>0</v>
      </c>
      <c r="I142" s="37">
        <f>'[2]2026年度男装数据汇总分析--俄罗斯'!I142</f>
        <v>0</v>
      </c>
      <c r="J142" s="37">
        <f>'[2]2026年度男装数据汇总分析--俄罗斯'!J142</f>
        <v>0</v>
      </c>
      <c r="K142" s="37">
        <f>'[2]2026年度男装数据汇总分析--俄罗斯'!K142</f>
        <v>0</v>
      </c>
      <c r="L142" s="37">
        <f>'[2]2026年度男装数据汇总分析--俄罗斯'!L142</f>
        <v>0</v>
      </c>
      <c r="M142" s="37">
        <f>'[2]2026年度男装数据汇总分析--俄罗斯'!M142</f>
        <v>0</v>
      </c>
      <c r="N142" s="37">
        <f>'[2]2026年度男装数据汇总分析--俄罗斯'!N142</f>
        <v>0</v>
      </c>
      <c r="O142" s="37">
        <f>'[2]2026年度男装数据汇总分析--俄罗斯'!O142</f>
        <v>0</v>
      </c>
    </row>
    <row r="143" spans="1:15">
      <c r="A143" s="37">
        <f>'[2]2026年度男装数据汇总分析--俄罗斯'!A143</f>
        <v>0</v>
      </c>
      <c r="B143" s="37">
        <f>'[2]2026年度男装数据汇总分析--俄罗斯'!B143</f>
        <v>0</v>
      </c>
      <c r="C143" s="37">
        <f>'[2]2026年度男装数据汇总分析--俄罗斯'!C143</f>
        <v>0</v>
      </c>
      <c r="D143" s="37">
        <f>'[2]2026年度男装数据汇总分析--俄罗斯'!D143</f>
        <v>0</v>
      </c>
      <c r="E143" s="37">
        <f>'[2]2026年度男装数据汇总分析--俄罗斯'!E143</f>
        <v>0</v>
      </c>
      <c r="F143" s="37">
        <f>'[2]2026年度男装数据汇总分析--俄罗斯'!F143</f>
        <v>0</v>
      </c>
      <c r="G143" s="37">
        <f>'[2]2026年度男装数据汇总分析--俄罗斯'!G143</f>
        <v>0</v>
      </c>
      <c r="H143" s="37">
        <f>'[2]2026年度男装数据汇总分析--俄罗斯'!H143</f>
        <v>0</v>
      </c>
      <c r="I143" s="37">
        <f>'[2]2026年度男装数据汇总分析--俄罗斯'!I143</f>
        <v>0</v>
      </c>
      <c r="J143" s="37">
        <f>'[2]2026年度男装数据汇总分析--俄罗斯'!J143</f>
        <v>0</v>
      </c>
      <c r="K143" s="37">
        <f>'[2]2026年度男装数据汇总分析--俄罗斯'!K143</f>
        <v>0</v>
      </c>
      <c r="L143" s="37">
        <f>'[2]2026年度男装数据汇总分析--俄罗斯'!L143</f>
        <v>0</v>
      </c>
      <c r="M143" s="37">
        <f>'[2]2026年度男装数据汇总分析--俄罗斯'!M143</f>
        <v>0</v>
      </c>
      <c r="N143" s="37">
        <f>'[2]2026年度男装数据汇总分析--俄罗斯'!N143</f>
        <v>0</v>
      </c>
      <c r="O143" s="37">
        <f>'[2]2026年度男装数据汇总分析--俄罗斯'!O143</f>
        <v>0</v>
      </c>
    </row>
    <row r="144" spans="1:15">
      <c r="A144" s="37">
        <f>'[2]2026年度男装数据汇总分析--俄罗斯'!A144</f>
        <v>0</v>
      </c>
      <c r="B144" s="37">
        <f>'[2]2026年度男装数据汇总分析--俄罗斯'!B144</f>
        <v>0</v>
      </c>
      <c r="C144" s="37">
        <f>'[2]2026年度男装数据汇总分析--俄罗斯'!C144</f>
        <v>0</v>
      </c>
      <c r="D144" s="37">
        <f>'[2]2026年度男装数据汇总分析--俄罗斯'!D144</f>
        <v>0</v>
      </c>
      <c r="E144" s="37">
        <f>'[2]2026年度男装数据汇总分析--俄罗斯'!E144</f>
        <v>0</v>
      </c>
      <c r="F144" s="37">
        <f>'[2]2026年度男装数据汇总分析--俄罗斯'!F144</f>
        <v>0</v>
      </c>
      <c r="G144" s="37">
        <f>'[2]2026年度男装数据汇总分析--俄罗斯'!G144</f>
        <v>0</v>
      </c>
      <c r="H144" s="37">
        <f>'[2]2026年度男装数据汇总分析--俄罗斯'!H144</f>
        <v>0</v>
      </c>
      <c r="I144" s="37">
        <f>'[2]2026年度男装数据汇总分析--俄罗斯'!I144</f>
        <v>0</v>
      </c>
      <c r="J144" s="37">
        <f>'[2]2026年度男装数据汇总分析--俄罗斯'!J144</f>
        <v>0</v>
      </c>
      <c r="K144" s="37">
        <f>'[2]2026年度男装数据汇总分析--俄罗斯'!K144</f>
        <v>0</v>
      </c>
      <c r="L144" s="37">
        <f>'[2]2026年度男装数据汇总分析--俄罗斯'!L144</f>
        <v>0</v>
      </c>
      <c r="M144" s="37">
        <f>'[2]2026年度男装数据汇总分析--俄罗斯'!M144</f>
        <v>0</v>
      </c>
      <c r="N144" s="37">
        <f>'[2]2026年度男装数据汇总分析--俄罗斯'!N144</f>
        <v>0</v>
      </c>
      <c r="O144" s="37">
        <f>'[2]2026年度男装数据汇总分析--俄罗斯'!O144</f>
        <v>0</v>
      </c>
    </row>
    <row r="145" spans="1:15">
      <c r="A145" s="37">
        <f>'[2]2026年度男装数据汇总分析--俄罗斯'!A145</f>
        <v>0</v>
      </c>
      <c r="B145" s="37">
        <f>'[2]2026年度男装数据汇总分析--俄罗斯'!B145</f>
        <v>0</v>
      </c>
      <c r="C145" s="37">
        <f>'[2]2026年度男装数据汇总分析--俄罗斯'!C145</f>
        <v>0</v>
      </c>
      <c r="D145" s="37">
        <f>'[2]2026年度男装数据汇总分析--俄罗斯'!D145</f>
        <v>0</v>
      </c>
      <c r="E145" s="37">
        <f>'[2]2026年度男装数据汇总分析--俄罗斯'!E145</f>
        <v>0</v>
      </c>
      <c r="F145" s="37">
        <f>'[2]2026年度男装数据汇总分析--俄罗斯'!F145</f>
        <v>0</v>
      </c>
      <c r="G145" s="37">
        <f>'[2]2026年度男装数据汇总分析--俄罗斯'!G145</f>
        <v>0</v>
      </c>
      <c r="H145" s="37">
        <f>'[2]2026年度男装数据汇总分析--俄罗斯'!H145</f>
        <v>0</v>
      </c>
      <c r="I145" s="37">
        <f>'[2]2026年度男装数据汇总分析--俄罗斯'!I145</f>
        <v>0</v>
      </c>
      <c r="J145" s="37">
        <f>'[2]2026年度男装数据汇总分析--俄罗斯'!J145</f>
        <v>0</v>
      </c>
      <c r="K145" s="37">
        <f>'[2]2026年度男装数据汇总分析--俄罗斯'!K145</f>
        <v>0</v>
      </c>
      <c r="L145" s="37">
        <f>'[2]2026年度男装数据汇总分析--俄罗斯'!L145</f>
        <v>0</v>
      </c>
      <c r="M145" s="37">
        <f>'[2]2026年度男装数据汇总分析--俄罗斯'!M145</f>
        <v>0</v>
      </c>
      <c r="N145" s="37">
        <f>'[2]2026年度男装数据汇总分析--俄罗斯'!N145</f>
        <v>0</v>
      </c>
      <c r="O145" s="37">
        <f>'[2]2026年度男装数据汇总分析--俄罗斯'!O145</f>
        <v>0</v>
      </c>
    </row>
    <row r="146" spans="1:15">
      <c r="A146" s="37">
        <f>'[2]2026年度男装数据汇总分析--俄罗斯'!A146</f>
        <v>0</v>
      </c>
      <c r="B146" s="37">
        <f>'[2]2026年度男装数据汇总分析--俄罗斯'!B146</f>
        <v>0</v>
      </c>
      <c r="C146" s="37">
        <f>'[2]2026年度男装数据汇总分析--俄罗斯'!C146</f>
        <v>0</v>
      </c>
      <c r="D146" s="37">
        <f>'[2]2026年度男装数据汇总分析--俄罗斯'!D146</f>
        <v>0</v>
      </c>
      <c r="E146" s="37">
        <f>'[2]2026年度男装数据汇总分析--俄罗斯'!E146</f>
        <v>0</v>
      </c>
      <c r="F146" s="37">
        <f>'[2]2026年度男装数据汇总分析--俄罗斯'!F146</f>
        <v>0</v>
      </c>
      <c r="G146" s="37">
        <f>'[2]2026年度男装数据汇总分析--俄罗斯'!G146</f>
        <v>0</v>
      </c>
      <c r="H146" s="37">
        <f>'[2]2026年度男装数据汇总分析--俄罗斯'!H146</f>
        <v>0</v>
      </c>
      <c r="I146" s="37">
        <f>'[2]2026年度男装数据汇总分析--俄罗斯'!I146</f>
        <v>0</v>
      </c>
      <c r="J146" s="37">
        <f>'[2]2026年度男装数据汇总分析--俄罗斯'!J146</f>
        <v>0</v>
      </c>
      <c r="K146" s="37">
        <f>'[2]2026年度男装数据汇总分析--俄罗斯'!K146</f>
        <v>0</v>
      </c>
      <c r="L146" s="37">
        <f>'[2]2026年度男装数据汇总分析--俄罗斯'!L146</f>
        <v>0</v>
      </c>
      <c r="M146" s="37">
        <f>'[2]2026年度男装数据汇总分析--俄罗斯'!M146</f>
        <v>0</v>
      </c>
      <c r="N146" s="37">
        <f>'[2]2026年度男装数据汇总分析--俄罗斯'!N146</f>
        <v>0</v>
      </c>
      <c r="O146" s="37">
        <f>'[2]2026年度男装数据汇总分析--俄罗斯'!O146</f>
        <v>0</v>
      </c>
    </row>
    <row r="147" spans="1:15">
      <c r="A147" s="37">
        <f>'[2]2026年度男装数据汇总分析--俄罗斯'!A147</f>
        <v>0</v>
      </c>
      <c r="B147" s="37">
        <f>'[2]2026年度男装数据汇总分析--俄罗斯'!B147</f>
        <v>0</v>
      </c>
      <c r="C147" s="37">
        <f>'[2]2026年度男装数据汇总分析--俄罗斯'!C147</f>
        <v>0</v>
      </c>
      <c r="D147" s="37">
        <f>'[2]2026年度男装数据汇总分析--俄罗斯'!D147</f>
        <v>0</v>
      </c>
      <c r="E147" s="37">
        <f>'[2]2026年度男装数据汇总分析--俄罗斯'!E147</f>
        <v>0</v>
      </c>
      <c r="F147" s="37">
        <f>'[2]2026年度男装数据汇总分析--俄罗斯'!F147</f>
        <v>0</v>
      </c>
      <c r="G147" s="37">
        <f>'[2]2026年度男装数据汇总分析--俄罗斯'!G147</f>
        <v>0</v>
      </c>
      <c r="H147" s="37">
        <f>'[2]2026年度男装数据汇总分析--俄罗斯'!H147</f>
        <v>0</v>
      </c>
      <c r="I147" s="37">
        <f>'[2]2026年度男装数据汇总分析--俄罗斯'!I147</f>
        <v>0</v>
      </c>
      <c r="J147" s="37">
        <f>'[2]2026年度男装数据汇总分析--俄罗斯'!J147</f>
        <v>0</v>
      </c>
      <c r="K147" s="37">
        <f>'[2]2026年度男装数据汇总分析--俄罗斯'!K147</f>
        <v>0</v>
      </c>
      <c r="L147" s="37">
        <f>'[2]2026年度男装数据汇总分析--俄罗斯'!L147</f>
        <v>0</v>
      </c>
      <c r="M147" s="37">
        <f>'[2]2026年度男装数据汇总分析--俄罗斯'!M147</f>
        <v>0</v>
      </c>
      <c r="N147" s="37">
        <f>'[2]2026年度男装数据汇总分析--俄罗斯'!N147</f>
        <v>0</v>
      </c>
      <c r="O147" s="37">
        <f>'[2]2026年度男装数据汇总分析--俄罗斯'!O147</f>
        <v>0</v>
      </c>
    </row>
    <row r="148" spans="1:15">
      <c r="A148" s="37">
        <f>'[2]2026年度男装数据汇总分析--俄罗斯'!A148</f>
        <v>0</v>
      </c>
      <c r="B148" s="37">
        <f>'[2]2026年度男装数据汇总分析--俄罗斯'!B148</f>
        <v>0</v>
      </c>
      <c r="C148" s="37">
        <f>'[2]2026年度男装数据汇总分析--俄罗斯'!C148</f>
        <v>0</v>
      </c>
      <c r="D148" s="37">
        <f>'[2]2026年度男装数据汇总分析--俄罗斯'!D148</f>
        <v>0</v>
      </c>
      <c r="E148" s="37">
        <f>'[2]2026年度男装数据汇总分析--俄罗斯'!E148</f>
        <v>0</v>
      </c>
      <c r="F148" s="37">
        <f>'[2]2026年度男装数据汇总分析--俄罗斯'!F148</f>
        <v>0</v>
      </c>
      <c r="G148" s="37">
        <f>'[2]2026年度男装数据汇总分析--俄罗斯'!G148</f>
        <v>0</v>
      </c>
      <c r="H148" s="37">
        <f>'[2]2026年度男装数据汇总分析--俄罗斯'!H148</f>
        <v>0</v>
      </c>
      <c r="I148" s="37">
        <f>'[2]2026年度男装数据汇总分析--俄罗斯'!I148</f>
        <v>0</v>
      </c>
      <c r="J148" s="37">
        <f>'[2]2026年度男装数据汇总分析--俄罗斯'!J148</f>
        <v>0</v>
      </c>
      <c r="K148" s="37">
        <f>'[2]2026年度男装数据汇总分析--俄罗斯'!K148</f>
        <v>0</v>
      </c>
      <c r="L148" s="37">
        <f>'[2]2026年度男装数据汇总分析--俄罗斯'!L148</f>
        <v>0</v>
      </c>
      <c r="M148" s="37">
        <f>'[2]2026年度男装数据汇总分析--俄罗斯'!M148</f>
        <v>0</v>
      </c>
      <c r="N148" s="37">
        <f>'[2]2026年度男装数据汇总分析--俄罗斯'!N148</f>
        <v>0</v>
      </c>
      <c r="O148" s="37">
        <f>'[2]2026年度男装数据汇总分析--俄罗斯'!O148</f>
        <v>0</v>
      </c>
    </row>
    <row r="149" spans="1:15">
      <c r="A149" s="37">
        <f>'[2]2026年度男装数据汇总分析--俄罗斯'!A149</f>
        <v>0</v>
      </c>
      <c r="B149" s="37">
        <f>'[2]2026年度男装数据汇总分析--俄罗斯'!B149</f>
        <v>0</v>
      </c>
      <c r="C149" s="37">
        <f>'[2]2026年度男装数据汇总分析--俄罗斯'!C149</f>
        <v>0</v>
      </c>
      <c r="D149" s="37">
        <f>'[2]2026年度男装数据汇总分析--俄罗斯'!D149</f>
        <v>0</v>
      </c>
      <c r="E149" s="37">
        <f>'[2]2026年度男装数据汇总分析--俄罗斯'!E149</f>
        <v>0</v>
      </c>
      <c r="F149" s="37">
        <f>'[2]2026年度男装数据汇总分析--俄罗斯'!F149</f>
        <v>0</v>
      </c>
      <c r="G149" s="37">
        <f>'[2]2026年度男装数据汇总分析--俄罗斯'!G149</f>
        <v>0</v>
      </c>
      <c r="H149" s="37">
        <f>'[2]2026年度男装数据汇总分析--俄罗斯'!H149</f>
        <v>0</v>
      </c>
      <c r="I149" s="37">
        <f>'[2]2026年度男装数据汇总分析--俄罗斯'!I149</f>
        <v>0</v>
      </c>
      <c r="J149" s="37">
        <f>'[2]2026年度男装数据汇总分析--俄罗斯'!J149</f>
        <v>0</v>
      </c>
      <c r="K149" s="37">
        <f>'[2]2026年度男装数据汇总分析--俄罗斯'!K149</f>
        <v>0</v>
      </c>
      <c r="L149" s="37">
        <f>'[2]2026年度男装数据汇总分析--俄罗斯'!L149</f>
        <v>0</v>
      </c>
      <c r="M149" s="37">
        <f>'[2]2026年度男装数据汇总分析--俄罗斯'!M149</f>
        <v>0</v>
      </c>
      <c r="N149" s="37">
        <f>'[2]2026年度男装数据汇总分析--俄罗斯'!N149</f>
        <v>0</v>
      </c>
      <c r="O149" s="37">
        <f>'[2]2026年度男装数据汇总分析--俄罗斯'!O149</f>
        <v>0</v>
      </c>
    </row>
    <row r="150" spans="1:15">
      <c r="A150" s="37">
        <f>'[2]2026年度男装数据汇总分析--俄罗斯'!A150</f>
        <v>0</v>
      </c>
      <c r="B150" s="37">
        <f>'[2]2026年度男装数据汇总分析--俄罗斯'!B150</f>
        <v>0</v>
      </c>
      <c r="C150" s="37">
        <f>'[2]2026年度男装数据汇总分析--俄罗斯'!C150</f>
        <v>0</v>
      </c>
      <c r="D150" s="37">
        <f>'[2]2026年度男装数据汇总分析--俄罗斯'!D150</f>
        <v>0</v>
      </c>
      <c r="E150" s="37">
        <f>'[2]2026年度男装数据汇总分析--俄罗斯'!E150</f>
        <v>0</v>
      </c>
      <c r="F150" s="37">
        <f>'[2]2026年度男装数据汇总分析--俄罗斯'!F150</f>
        <v>0</v>
      </c>
      <c r="G150" s="37">
        <f>'[2]2026年度男装数据汇总分析--俄罗斯'!G150</f>
        <v>0</v>
      </c>
      <c r="H150" s="37">
        <f>'[2]2026年度男装数据汇总分析--俄罗斯'!H150</f>
        <v>0</v>
      </c>
      <c r="I150" s="37">
        <f>'[2]2026年度男装数据汇总分析--俄罗斯'!I150</f>
        <v>0</v>
      </c>
      <c r="J150" s="37">
        <f>'[2]2026年度男装数据汇总分析--俄罗斯'!J150</f>
        <v>0</v>
      </c>
      <c r="K150" s="37">
        <f>'[2]2026年度男装数据汇总分析--俄罗斯'!K150</f>
        <v>0</v>
      </c>
      <c r="L150" s="37">
        <f>'[2]2026年度男装数据汇总分析--俄罗斯'!L150</f>
        <v>0</v>
      </c>
      <c r="M150" s="37">
        <f>'[2]2026年度男装数据汇总分析--俄罗斯'!M150</f>
        <v>0</v>
      </c>
      <c r="N150" s="37">
        <f>'[2]2026年度男装数据汇总分析--俄罗斯'!N150</f>
        <v>0</v>
      </c>
      <c r="O150" s="37">
        <f>'[2]2026年度男装数据汇总分析--俄罗斯'!O150</f>
        <v>0</v>
      </c>
    </row>
    <row r="151" spans="1:15">
      <c r="A151" s="37">
        <f>'[2]2026年度男装数据汇总分析--俄罗斯'!A151</f>
        <v>0</v>
      </c>
      <c r="B151" s="37">
        <f>'[2]2026年度男装数据汇总分析--俄罗斯'!B151</f>
        <v>0</v>
      </c>
      <c r="C151" s="37">
        <f>'[2]2026年度男装数据汇总分析--俄罗斯'!C151</f>
        <v>0</v>
      </c>
      <c r="D151" s="37">
        <f>'[2]2026年度男装数据汇总分析--俄罗斯'!D151</f>
        <v>0</v>
      </c>
      <c r="E151" s="37">
        <f>'[2]2026年度男装数据汇总分析--俄罗斯'!E151</f>
        <v>0</v>
      </c>
      <c r="F151" s="37">
        <f>'[2]2026年度男装数据汇总分析--俄罗斯'!F151</f>
        <v>0</v>
      </c>
      <c r="G151" s="37">
        <f>'[2]2026年度男装数据汇总分析--俄罗斯'!G151</f>
        <v>0</v>
      </c>
      <c r="H151" s="37">
        <f>'[2]2026年度男装数据汇总分析--俄罗斯'!H151</f>
        <v>0</v>
      </c>
      <c r="I151" s="37">
        <f>'[2]2026年度男装数据汇总分析--俄罗斯'!I151</f>
        <v>0</v>
      </c>
      <c r="J151" s="37">
        <f>'[2]2026年度男装数据汇总分析--俄罗斯'!J151</f>
        <v>0</v>
      </c>
      <c r="K151" s="37">
        <f>'[2]2026年度男装数据汇总分析--俄罗斯'!K151</f>
        <v>0</v>
      </c>
      <c r="L151" s="37">
        <f>'[2]2026年度男装数据汇总分析--俄罗斯'!L151</f>
        <v>0</v>
      </c>
      <c r="M151" s="37">
        <f>'[2]2026年度男装数据汇总分析--俄罗斯'!M151</f>
        <v>0</v>
      </c>
      <c r="N151" s="37">
        <f>'[2]2026年度男装数据汇总分析--俄罗斯'!N151</f>
        <v>0</v>
      </c>
      <c r="O151" s="37">
        <f>'[2]2026年度男装数据汇总分析--俄罗斯'!O151</f>
        <v>0</v>
      </c>
    </row>
    <row r="152" spans="1:15">
      <c r="A152" s="37">
        <f>'[2]2026年度男装数据汇总分析--俄罗斯'!A152</f>
        <v>0</v>
      </c>
      <c r="B152" s="37">
        <f>'[2]2026年度男装数据汇总分析--俄罗斯'!B152</f>
        <v>0</v>
      </c>
      <c r="C152" s="37">
        <f>'[2]2026年度男装数据汇总分析--俄罗斯'!C152</f>
        <v>0</v>
      </c>
      <c r="D152" s="37">
        <f>'[2]2026年度男装数据汇总分析--俄罗斯'!D152</f>
        <v>0</v>
      </c>
      <c r="E152" s="37">
        <f>'[2]2026年度男装数据汇总分析--俄罗斯'!E152</f>
        <v>0</v>
      </c>
      <c r="F152" s="37">
        <f>'[2]2026年度男装数据汇总分析--俄罗斯'!F152</f>
        <v>0</v>
      </c>
      <c r="G152" s="37">
        <f>'[2]2026年度男装数据汇总分析--俄罗斯'!G152</f>
        <v>0</v>
      </c>
      <c r="H152" s="37">
        <f>'[2]2026年度男装数据汇总分析--俄罗斯'!H152</f>
        <v>0</v>
      </c>
      <c r="I152" s="37">
        <f>'[2]2026年度男装数据汇总分析--俄罗斯'!I152</f>
        <v>0</v>
      </c>
      <c r="J152" s="37">
        <f>'[2]2026年度男装数据汇总分析--俄罗斯'!J152</f>
        <v>0</v>
      </c>
      <c r="K152" s="37">
        <f>'[2]2026年度男装数据汇总分析--俄罗斯'!K152</f>
        <v>0</v>
      </c>
      <c r="L152" s="37">
        <f>'[2]2026年度男装数据汇总分析--俄罗斯'!L152</f>
        <v>0</v>
      </c>
      <c r="M152" s="37">
        <f>'[2]2026年度男装数据汇总分析--俄罗斯'!M152</f>
        <v>0</v>
      </c>
      <c r="N152" s="37">
        <f>'[2]2026年度男装数据汇总分析--俄罗斯'!N152</f>
        <v>0</v>
      </c>
      <c r="O152" s="37">
        <f>'[2]2026年度男装数据汇总分析--俄罗斯'!O152</f>
        <v>0</v>
      </c>
    </row>
    <row r="153" spans="1:15">
      <c r="A153" s="37">
        <f>'[2]2026年度男装数据汇总分析--俄罗斯'!A153</f>
        <v>0</v>
      </c>
      <c r="B153" s="37">
        <f>'[2]2026年度男装数据汇总分析--俄罗斯'!B153</f>
        <v>0</v>
      </c>
      <c r="C153" s="37">
        <f>'[2]2026年度男装数据汇总分析--俄罗斯'!C153</f>
        <v>0</v>
      </c>
      <c r="D153" s="37">
        <f>'[2]2026年度男装数据汇总分析--俄罗斯'!D153</f>
        <v>0</v>
      </c>
      <c r="E153" s="37">
        <f>'[2]2026年度男装数据汇总分析--俄罗斯'!E153</f>
        <v>0</v>
      </c>
      <c r="F153" s="37">
        <f>'[2]2026年度男装数据汇总分析--俄罗斯'!F153</f>
        <v>0</v>
      </c>
      <c r="G153" s="37">
        <f>'[2]2026年度男装数据汇总分析--俄罗斯'!G153</f>
        <v>0</v>
      </c>
      <c r="H153" s="37">
        <f>'[2]2026年度男装数据汇总分析--俄罗斯'!H153</f>
        <v>0</v>
      </c>
      <c r="I153" s="37">
        <f>'[2]2026年度男装数据汇总分析--俄罗斯'!I153</f>
        <v>0</v>
      </c>
      <c r="J153" s="37">
        <f>'[2]2026年度男装数据汇总分析--俄罗斯'!J153</f>
        <v>0</v>
      </c>
      <c r="K153" s="37">
        <f>'[2]2026年度男装数据汇总分析--俄罗斯'!K153</f>
        <v>0</v>
      </c>
      <c r="L153" s="37">
        <f>'[2]2026年度男装数据汇总分析--俄罗斯'!L153</f>
        <v>0</v>
      </c>
      <c r="M153" s="37">
        <f>'[2]2026年度男装数据汇总分析--俄罗斯'!M153</f>
        <v>0</v>
      </c>
      <c r="N153" s="37">
        <f>'[2]2026年度男装数据汇总分析--俄罗斯'!N153</f>
        <v>0</v>
      </c>
      <c r="O153" s="37">
        <f>'[2]2026年度男装数据汇总分析--俄罗斯'!O153</f>
        <v>0</v>
      </c>
    </row>
    <row r="154" spans="1:15">
      <c r="A154" s="37">
        <f>'[2]2026年度男装数据汇总分析--俄罗斯'!A154</f>
        <v>0</v>
      </c>
      <c r="B154" s="37">
        <f>'[2]2026年度男装数据汇总分析--俄罗斯'!B154</f>
        <v>0</v>
      </c>
      <c r="C154" s="37">
        <f>'[2]2026年度男装数据汇总分析--俄罗斯'!C154</f>
        <v>0</v>
      </c>
      <c r="D154" s="37">
        <f>'[2]2026年度男装数据汇总分析--俄罗斯'!D154</f>
        <v>0</v>
      </c>
      <c r="E154" s="37">
        <f>'[2]2026年度男装数据汇总分析--俄罗斯'!E154</f>
        <v>0</v>
      </c>
      <c r="F154" s="37">
        <f>'[2]2026年度男装数据汇总分析--俄罗斯'!F154</f>
        <v>0</v>
      </c>
      <c r="G154" s="37">
        <f>'[2]2026年度男装数据汇总分析--俄罗斯'!G154</f>
        <v>0</v>
      </c>
      <c r="H154" s="37">
        <f>'[2]2026年度男装数据汇总分析--俄罗斯'!H154</f>
        <v>0</v>
      </c>
      <c r="I154" s="37">
        <f>'[2]2026年度男装数据汇总分析--俄罗斯'!I154</f>
        <v>0</v>
      </c>
      <c r="J154" s="37">
        <f>'[2]2026年度男装数据汇总分析--俄罗斯'!J154</f>
        <v>0</v>
      </c>
      <c r="K154" s="37">
        <f>'[2]2026年度男装数据汇总分析--俄罗斯'!K154</f>
        <v>0</v>
      </c>
      <c r="L154" s="37">
        <f>'[2]2026年度男装数据汇总分析--俄罗斯'!L154</f>
        <v>0</v>
      </c>
      <c r="M154" s="37">
        <f>'[2]2026年度男装数据汇总分析--俄罗斯'!M154</f>
        <v>0</v>
      </c>
      <c r="N154" s="37">
        <f>'[2]2026年度男装数据汇总分析--俄罗斯'!N154</f>
        <v>0</v>
      </c>
      <c r="O154" s="37">
        <f>'[2]2026年度男装数据汇总分析--俄罗斯'!O154</f>
        <v>0</v>
      </c>
    </row>
    <row r="155" spans="1:15">
      <c r="A155" s="37">
        <f>'[2]2026年度男装数据汇总分析--俄罗斯'!A155</f>
        <v>0</v>
      </c>
      <c r="B155" s="37">
        <f>'[2]2026年度男装数据汇总分析--俄罗斯'!B155</f>
        <v>0</v>
      </c>
      <c r="C155" s="37">
        <f>'[2]2026年度男装数据汇总分析--俄罗斯'!C155</f>
        <v>0</v>
      </c>
      <c r="D155" s="37">
        <f>'[2]2026年度男装数据汇总分析--俄罗斯'!D155</f>
        <v>0</v>
      </c>
      <c r="E155" s="37">
        <f>'[2]2026年度男装数据汇总分析--俄罗斯'!E155</f>
        <v>0</v>
      </c>
      <c r="F155" s="37">
        <f>'[2]2026年度男装数据汇总分析--俄罗斯'!F155</f>
        <v>0</v>
      </c>
      <c r="G155" s="37">
        <f>'[2]2026年度男装数据汇总分析--俄罗斯'!G155</f>
        <v>0</v>
      </c>
      <c r="H155" s="37">
        <f>'[2]2026年度男装数据汇总分析--俄罗斯'!H155</f>
        <v>0</v>
      </c>
      <c r="I155" s="37">
        <f>'[2]2026年度男装数据汇总分析--俄罗斯'!I155</f>
        <v>0</v>
      </c>
      <c r="J155" s="37">
        <f>'[2]2026年度男装数据汇总分析--俄罗斯'!J155</f>
        <v>0</v>
      </c>
      <c r="K155" s="37">
        <f>'[2]2026年度男装数据汇总分析--俄罗斯'!K155</f>
        <v>0</v>
      </c>
      <c r="L155" s="37">
        <f>'[2]2026年度男装数据汇总分析--俄罗斯'!L155</f>
        <v>0</v>
      </c>
      <c r="M155" s="37">
        <f>'[2]2026年度男装数据汇总分析--俄罗斯'!M155</f>
        <v>0</v>
      </c>
      <c r="N155" s="37">
        <f>'[2]2026年度男装数据汇总分析--俄罗斯'!N155</f>
        <v>0</v>
      </c>
      <c r="O155" s="37">
        <f>'[2]2026年度男装数据汇总分析--俄罗斯'!O155</f>
        <v>0</v>
      </c>
    </row>
    <row r="156" spans="1:15">
      <c r="A156" s="37">
        <f>'[2]2026年度男装数据汇总分析--俄罗斯'!A156</f>
        <v>0</v>
      </c>
      <c r="B156" s="37">
        <f>'[2]2026年度男装数据汇总分析--俄罗斯'!B156</f>
        <v>0</v>
      </c>
      <c r="C156" s="37">
        <f>'[2]2026年度男装数据汇总分析--俄罗斯'!C156</f>
        <v>0</v>
      </c>
      <c r="D156" s="37">
        <f>'[2]2026年度男装数据汇总分析--俄罗斯'!D156</f>
        <v>0</v>
      </c>
      <c r="E156" s="37">
        <f>'[2]2026年度男装数据汇总分析--俄罗斯'!E156</f>
        <v>0</v>
      </c>
      <c r="F156" s="37">
        <f>'[2]2026年度男装数据汇总分析--俄罗斯'!F156</f>
        <v>0</v>
      </c>
      <c r="G156" s="37">
        <f>'[2]2026年度男装数据汇总分析--俄罗斯'!G156</f>
        <v>0</v>
      </c>
      <c r="H156" s="37">
        <f>'[2]2026年度男装数据汇总分析--俄罗斯'!H156</f>
        <v>0</v>
      </c>
      <c r="I156" s="37">
        <f>'[2]2026年度男装数据汇总分析--俄罗斯'!I156</f>
        <v>0</v>
      </c>
      <c r="J156" s="37">
        <f>'[2]2026年度男装数据汇总分析--俄罗斯'!J156</f>
        <v>0</v>
      </c>
      <c r="K156" s="37">
        <f>'[2]2026年度男装数据汇总分析--俄罗斯'!K156</f>
        <v>0</v>
      </c>
      <c r="L156" s="37">
        <f>'[2]2026年度男装数据汇总分析--俄罗斯'!L156</f>
        <v>0</v>
      </c>
      <c r="M156" s="37">
        <f>'[2]2026年度男装数据汇总分析--俄罗斯'!M156</f>
        <v>0</v>
      </c>
      <c r="N156" s="37">
        <f>'[2]2026年度男装数据汇总分析--俄罗斯'!N156</f>
        <v>0</v>
      </c>
      <c r="O156" s="37">
        <f>'[2]2026年度男装数据汇总分析--俄罗斯'!O156</f>
        <v>0</v>
      </c>
    </row>
    <row r="157" spans="1:15">
      <c r="A157" s="37">
        <f>'[2]2026年度男装数据汇总分析--俄罗斯'!A157</f>
        <v>0</v>
      </c>
      <c r="B157" s="37">
        <f>'[2]2026年度男装数据汇总分析--俄罗斯'!B157</f>
        <v>0</v>
      </c>
      <c r="C157" s="37">
        <f>'[2]2026年度男装数据汇总分析--俄罗斯'!C157</f>
        <v>0</v>
      </c>
      <c r="D157" s="37">
        <f>'[2]2026年度男装数据汇总分析--俄罗斯'!D157</f>
        <v>0</v>
      </c>
      <c r="E157" s="37">
        <f>'[2]2026年度男装数据汇总分析--俄罗斯'!E157</f>
        <v>0</v>
      </c>
      <c r="F157" s="37">
        <f>'[2]2026年度男装数据汇总分析--俄罗斯'!F157</f>
        <v>0</v>
      </c>
      <c r="G157" s="37">
        <f>'[2]2026年度男装数据汇总分析--俄罗斯'!G157</f>
        <v>0</v>
      </c>
      <c r="H157" s="37">
        <f>'[2]2026年度男装数据汇总分析--俄罗斯'!H157</f>
        <v>0</v>
      </c>
      <c r="I157" s="37">
        <f>'[2]2026年度男装数据汇总分析--俄罗斯'!I157</f>
        <v>0</v>
      </c>
      <c r="J157" s="37">
        <f>'[2]2026年度男装数据汇总分析--俄罗斯'!J157</f>
        <v>0</v>
      </c>
      <c r="K157" s="37">
        <f>'[2]2026年度男装数据汇总分析--俄罗斯'!K157</f>
        <v>0</v>
      </c>
      <c r="L157" s="37">
        <f>'[2]2026年度男装数据汇总分析--俄罗斯'!L157</f>
        <v>0</v>
      </c>
      <c r="M157" s="37">
        <f>'[2]2026年度男装数据汇总分析--俄罗斯'!M157</f>
        <v>0</v>
      </c>
      <c r="N157" s="37">
        <f>'[2]2026年度男装数据汇总分析--俄罗斯'!N157</f>
        <v>0</v>
      </c>
      <c r="O157" s="37">
        <f>'[2]2026年度男装数据汇总分析--俄罗斯'!O157</f>
        <v>0</v>
      </c>
    </row>
    <row r="158" spans="1:15">
      <c r="A158" s="37">
        <f>'[2]2026年度男装数据汇总分析--俄罗斯'!A158</f>
        <v>0</v>
      </c>
      <c r="B158" s="37">
        <f>'[2]2026年度男装数据汇总分析--俄罗斯'!B158</f>
        <v>0</v>
      </c>
      <c r="C158" s="37">
        <f>'[2]2026年度男装数据汇总分析--俄罗斯'!C158</f>
        <v>0</v>
      </c>
      <c r="D158" s="37">
        <f>'[2]2026年度男装数据汇总分析--俄罗斯'!D158</f>
        <v>0</v>
      </c>
      <c r="E158" s="37">
        <f>'[2]2026年度男装数据汇总分析--俄罗斯'!E158</f>
        <v>0</v>
      </c>
      <c r="F158" s="37">
        <f>'[2]2026年度男装数据汇总分析--俄罗斯'!F158</f>
        <v>0</v>
      </c>
      <c r="G158" s="37">
        <f>'[2]2026年度男装数据汇总分析--俄罗斯'!G158</f>
        <v>0</v>
      </c>
      <c r="H158" s="37">
        <f>'[2]2026年度男装数据汇总分析--俄罗斯'!H158</f>
        <v>0</v>
      </c>
      <c r="I158" s="37">
        <f>'[2]2026年度男装数据汇总分析--俄罗斯'!I158</f>
        <v>0</v>
      </c>
      <c r="J158" s="37">
        <f>'[2]2026年度男装数据汇总分析--俄罗斯'!J158</f>
        <v>0</v>
      </c>
      <c r="K158" s="37">
        <f>'[2]2026年度男装数据汇总分析--俄罗斯'!K158</f>
        <v>0</v>
      </c>
      <c r="L158" s="37">
        <f>'[2]2026年度男装数据汇总分析--俄罗斯'!L158</f>
        <v>0</v>
      </c>
      <c r="M158" s="37">
        <f>'[2]2026年度男装数据汇总分析--俄罗斯'!M158</f>
        <v>0</v>
      </c>
      <c r="N158" s="37">
        <f>'[2]2026年度男装数据汇总分析--俄罗斯'!N158</f>
        <v>0</v>
      </c>
      <c r="O158" s="37">
        <f>'[2]2026年度男装数据汇总分析--俄罗斯'!O158</f>
        <v>0</v>
      </c>
    </row>
    <row r="159" spans="1:15">
      <c r="A159" s="37">
        <f>'[2]2026年度男装数据汇总分析--俄罗斯'!A159</f>
        <v>0</v>
      </c>
      <c r="B159" s="37">
        <f>'[2]2026年度男装数据汇总分析--俄罗斯'!B159</f>
        <v>0</v>
      </c>
      <c r="C159" s="37">
        <f>'[2]2026年度男装数据汇总分析--俄罗斯'!C159</f>
        <v>0</v>
      </c>
      <c r="D159" s="37">
        <f>'[2]2026年度男装数据汇总分析--俄罗斯'!D159</f>
        <v>0</v>
      </c>
      <c r="E159" s="37">
        <f>'[2]2026年度男装数据汇总分析--俄罗斯'!E159</f>
        <v>0</v>
      </c>
      <c r="F159" s="37">
        <f>'[2]2026年度男装数据汇总分析--俄罗斯'!F159</f>
        <v>0</v>
      </c>
      <c r="G159" s="37">
        <f>'[2]2026年度男装数据汇总分析--俄罗斯'!G159</f>
        <v>0</v>
      </c>
      <c r="H159" s="37">
        <f>'[2]2026年度男装数据汇总分析--俄罗斯'!H159</f>
        <v>0</v>
      </c>
      <c r="I159" s="37">
        <f>'[2]2026年度男装数据汇总分析--俄罗斯'!I159</f>
        <v>0</v>
      </c>
      <c r="J159" s="37">
        <f>'[2]2026年度男装数据汇总分析--俄罗斯'!J159</f>
        <v>0</v>
      </c>
      <c r="K159" s="37">
        <f>'[2]2026年度男装数据汇总分析--俄罗斯'!K159</f>
        <v>0</v>
      </c>
      <c r="L159" s="37">
        <f>'[2]2026年度男装数据汇总分析--俄罗斯'!L159</f>
        <v>0</v>
      </c>
      <c r="M159" s="37">
        <f>'[2]2026年度男装数据汇总分析--俄罗斯'!M159</f>
        <v>0</v>
      </c>
      <c r="N159" s="37">
        <f>'[2]2026年度男装数据汇总分析--俄罗斯'!N159</f>
        <v>0</v>
      </c>
      <c r="O159" s="37">
        <f>'[2]2026年度男装数据汇总分析--俄罗斯'!O159</f>
        <v>0</v>
      </c>
    </row>
    <row r="160" spans="1:15">
      <c r="A160" s="37">
        <f>'[2]2026年度男装数据汇总分析--俄罗斯'!A160</f>
        <v>0</v>
      </c>
      <c r="B160" s="37">
        <f>'[2]2026年度男装数据汇总分析--俄罗斯'!B160</f>
        <v>0</v>
      </c>
      <c r="C160" s="37">
        <f>'[2]2026年度男装数据汇总分析--俄罗斯'!C160</f>
        <v>0</v>
      </c>
      <c r="D160" s="37">
        <f>'[2]2026年度男装数据汇总分析--俄罗斯'!D160</f>
        <v>0</v>
      </c>
      <c r="E160" s="37">
        <f>'[2]2026年度男装数据汇总分析--俄罗斯'!E160</f>
        <v>0</v>
      </c>
      <c r="F160" s="37">
        <f>'[2]2026年度男装数据汇总分析--俄罗斯'!F160</f>
        <v>0</v>
      </c>
      <c r="G160" s="37">
        <f>'[2]2026年度男装数据汇总分析--俄罗斯'!G160</f>
        <v>0</v>
      </c>
      <c r="H160" s="37">
        <f>'[2]2026年度男装数据汇总分析--俄罗斯'!H160</f>
        <v>0</v>
      </c>
      <c r="I160" s="37">
        <f>'[2]2026年度男装数据汇总分析--俄罗斯'!I160</f>
        <v>0</v>
      </c>
      <c r="J160" s="37">
        <f>'[2]2026年度男装数据汇总分析--俄罗斯'!J160</f>
        <v>0</v>
      </c>
      <c r="K160" s="37">
        <f>'[2]2026年度男装数据汇总分析--俄罗斯'!K160</f>
        <v>0</v>
      </c>
      <c r="L160" s="37">
        <f>'[2]2026年度男装数据汇总分析--俄罗斯'!L160</f>
        <v>0</v>
      </c>
      <c r="M160" s="37">
        <f>'[2]2026年度男装数据汇总分析--俄罗斯'!M160</f>
        <v>0</v>
      </c>
      <c r="N160" s="37">
        <f>'[2]2026年度男装数据汇总分析--俄罗斯'!N160</f>
        <v>0</v>
      </c>
      <c r="O160" s="37">
        <f>'[2]2026年度男装数据汇总分析--俄罗斯'!O160</f>
        <v>0</v>
      </c>
    </row>
    <row r="161" spans="1:15">
      <c r="A161" s="37">
        <f>'[2]2026年度男装数据汇总分析--俄罗斯'!A161</f>
        <v>0</v>
      </c>
      <c r="B161" s="37">
        <f>'[2]2026年度男装数据汇总分析--俄罗斯'!B161</f>
        <v>0</v>
      </c>
      <c r="C161" s="37">
        <f>'[2]2026年度男装数据汇总分析--俄罗斯'!C161</f>
        <v>0</v>
      </c>
      <c r="D161" s="37">
        <f>'[2]2026年度男装数据汇总分析--俄罗斯'!D161</f>
        <v>0</v>
      </c>
      <c r="E161" s="37">
        <f>'[2]2026年度男装数据汇总分析--俄罗斯'!E161</f>
        <v>0</v>
      </c>
      <c r="F161" s="37">
        <f>'[2]2026年度男装数据汇总分析--俄罗斯'!F161</f>
        <v>0</v>
      </c>
      <c r="G161" s="37">
        <f>'[2]2026年度男装数据汇总分析--俄罗斯'!G161</f>
        <v>0</v>
      </c>
      <c r="H161" s="37">
        <f>'[2]2026年度男装数据汇总分析--俄罗斯'!H161</f>
        <v>0</v>
      </c>
      <c r="I161" s="37">
        <f>'[2]2026年度男装数据汇总分析--俄罗斯'!I161</f>
        <v>0</v>
      </c>
      <c r="J161" s="37">
        <f>'[2]2026年度男装数据汇总分析--俄罗斯'!J161</f>
        <v>0</v>
      </c>
      <c r="K161" s="37">
        <f>'[2]2026年度男装数据汇总分析--俄罗斯'!K161</f>
        <v>0</v>
      </c>
      <c r="L161" s="37">
        <f>'[2]2026年度男装数据汇总分析--俄罗斯'!L161</f>
        <v>0</v>
      </c>
      <c r="M161" s="37">
        <f>'[2]2026年度男装数据汇总分析--俄罗斯'!M161</f>
        <v>0</v>
      </c>
      <c r="N161" s="37">
        <f>'[2]2026年度男装数据汇总分析--俄罗斯'!N161</f>
        <v>0</v>
      </c>
      <c r="O161" s="37">
        <f>'[2]2026年度男装数据汇总分析--俄罗斯'!O161</f>
        <v>0</v>
      </c>
    </row>
    <row r="162" spans="1:15">
      <c r="A162" s="37">
        <f>'[2]2026年度男装数据汇总分析--俄罗斯'!A162</f>
        <v>0</v>
      </c>
      <c r="B162" s="37">
        <f>'[2]2026年度男装数据汇总分析--俄罗斯'!B162</f>
        <v>0</v>
      </c>
      <c r="C162" s="37">
        <f>'[2]2026年度男装数据汇总分析--俄罗斯'!C162</f>
        <v>0</v>
      </c>
      <c r="D162" s="37">
        <f>'[2]2026年度男装数据汇总分析--俄罗斯'!D162</f>
        <v>0</v>
      </c>
      <c r="E162" s="37">
        <f>'[2]2026年度男装数据汇总分析--俄罗斯'!E162</f>
        <v>0</v>
      </c>
      <c r="F162" s="37">
        <f>'[2]2026年度男装数据汇总分析--俄罗斯'!F162</f>
        <v>0</v>
      </c>
      <c r="G162" s="37">
        <f>'[2]2026年度男装数据汇总分析--俄罗斯'!G162</f>
        <v>0</v>
      </c>
      <c r="H162" s="37">
        <f>'[2]2026年度男装数据汇总分析--俄罗斯'!H162</f>
        <v>0</v>
      </c>
      <c r="I162" s="37">
        <f>'[2]2026年度男装数据汇总分析--俄罗斯'!I162</f>
        <v>0</v>
      </c>
      <c r="J162" s="37">
        <f>'[2]2026年度男装数据汇总分析--俄罗斯'!J162</f>
        <v>0</v>
      </c>
      <c r="K162" s="37">
        <f>'[2]2026年度男装数据汇总分析--俄罗斯'!K162</f>
        <v>0</v>
      </c>
      <c r="L162" s="37">
        <f>'[2]2026年度男装数据汇总分析--俄罗斯'!L162</f>
        <v>0</v>
      </c>
      <c r="M162" s="37">
        <f>'[2]2026年度男装数据汇总分析--俄罗斯'!M162</f>
        <v>0</v>
      </c>
      <c r="N162" s="37">
        <f>'[2]2026年度男装数据汇总分析--俄罗斯'!N162</f>
        <v>0</v>
      </c>
      <c r="O162" s="37">
        <f>'[2]2026年度男装数据汇总分析--俄罗斯'!O162</f>
        <v>0</v>
      </c>
    </row>
    <row r="335" s="37" customFormat="1" spans="1:13">
      <c r="A335" s="4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60"/>
    </row>
    <row r="336" s="37" customFormat="1" spans="1:13">
      <c r="A336" s="42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61"/>
    </row>
    <row r="337" s="37" customFormat="1" spans="1:13">
      <c r="A337" s="44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2"/>
    </row>
    <row r="338" s="37" customFormat="1" spans="1:13">
      <c r="A338" s="46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63"/>
    </row>
    <row r="339" s="37" customFormat="1" spans="1:13">
      <c r="A339" s="46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63"/>
    </row>
    <row r="340" s="37" customFormat="1" spans="1:13">
      <c r="A340" s="46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63"/>
    </row>
    <row r="341" s="37" customFormat="1" spans="1:13">
      <c r="A341" s="46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63"/>
    </row>
    <row r="342" s="37" customFormat="1" spans="1:13">
      <c r="A342" s="46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63"/>
    </row>
    <row r="343" s="37" customFormat="1" spans="1:13">
      <c r="A343" s="42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61"/>
    </row>
    <row r="344" s="37" customFormat="1" spans="1:13">
      <c r="A344" s="44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2"/>
    </row>
    <row r="345" s="37" customFormat="1" spans="1:13">
      <c r="A345" s="46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63"/>
    </row>
    <row r="346" s="37" customFormat="1" spans="1:13">
      <c r="A346" s="46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63"/>
    </row>
    <row r="347" s="37" customFormat="1" spans="1:13">
      <c r="A347" s="46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63"/>
    </row>
    <row r="348" s="37" customFormat="1" spans="1:13">
      <c r="A348" s="46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63"/>
    </row>
    <row r="349" s="37" customFormat="1" spans="1:13">
      <c r="A349" s="46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63"/>
    </row>
    <row r="350" s="37" customFormat="1" spans="1:13">
      <c r="A350" s="46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63"/>
    </row>
    <row r="351" s="37" customFormat="1" spans="1:13">
      <c r="A351" s="46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63"/>
    </row>
    <row r="352" s="37" customFormat="1" spans="1:13">
      <c r="A352" s="48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64"/>
    </row>
    <row r="353" s="37" customFormat="1" spans="1:1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65"/>
    </row>
    <row r="354" s="37" customFormat="1" spans="1:13">
      <c r="A354" s="46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</row>
    <row r="355" s="37" customFormat="1" spans="1:13">
      <c r="A355" s="46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63"/>
    </row>
    <row r="356" s="37" customFormat="1" spans="1:13">
      <c r="A356" s="52"/>
      <c r="B356" s="53"/>
      <c r="C356" s="54"/>
      <c r="D356" s="54"/>
      <c r="E356" s="54"/>
      <c r="F356" s="53"/>
      <c r="G356" s="53"/>
      <c r="H356" s="53"/>
      <c r="I356" s="54"/>
      <c r="J356" s="54"/>
      <c r="K356" s="54"/>
      <c r="L356" s="53"/>
      <c r="M356" s="66"/>
    </row>
    <row r="357" s="37" customFormat="1" spans="1:13">
      <c r="A357" s="42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61"/>
    </row>
    <row r="358" s="37" customFormat="1" spans="1:13">
      <c r="A358" s="44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2"/>
    </row>
    <row r="359" s="37" customFormat="1" spans="1:13">
      <c r="A359" s="46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</row>
    <row r="360" s="37" customFormat="1" spans="1:13">
      <c r="A360" s="46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63"/>
    </row>
    <row r="361" s="37" customFormat="1" spans="1:13">
      <c r="A361" s="46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</row>
    <row r="362" s="37" customFormat="1" spans="1:13">
      <c r="A362" s="46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</row>
    <row r="363" s="37" customFormat="1" spans="1:13">
      <c r="A363" s="52"/>
      <c r="B363" s="56"/>
      <c r="C363" s="57"/>
      <c r="D363" s="57"/>
      <c r="E363" s="56"/>
      <c r="F363" s="57"/>
      <c r="G363" s="57"/>
      <c r="H363" s="56"/>
      <c r="I363" s="57"/>
      <c r="J363" s="57"/>
      <c r="K363" s="56"/>
      <c r="L363" s="57"/>
      <c r="M363" s="57"/>
    </row>
    <row r="364" s="37" customFormat="1" ht="16.35" spans="1:1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{036fa8a5-9f07-475d-a8c3-89ba1bd660c3}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{585121f7-cc18-486c-ba11-53be32b64d79}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{93809c7b-34bf-437e-9e2c-3243856e49b6}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{c1f70ae2-126d-4843-b3b8-a032c10ff269}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{33c93244-f236-4e54-b3a2-0f05cc97f5e5}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{dfc65abf-5847-448f-91f8-0707fc0dd032}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{a481f236-c09c-43c6-962e-2e5a4fb52c2e}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{202b56bb-e929-45c6-9dd6-cec02a09533c}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{ac33fcc8-5096-45e7-8c84-41b5e1710ef0}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{8e133e48-e410-44ba-8124-8e0c8ed8e49b}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{f4401627-5531-4ae2-87d8-359ddfd22486}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{9c575436-e946-4097-8c3f-d8864cceba09}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{e7ab7afe-05e0-44af-9a4f-8c265713bd39}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{c2d21ee0-cd0a-4c8c-ae09-82ee3c8b0e97}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{b224432d-48cc-450b-a197-a7108abcc18f}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{d753adf1-625a-4b92-bc6f-f026b659e77e}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{4ffd94e0-9a09-4366-8409-b6a952208003}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{db9c0acd-a431-4109-a94d-12688c16bb39}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{616f2165-df2f-460d-bc34-0009ba1f34b0}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{29404a18-f2c9-4144-83c9-0d75c632486f}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{754ca07a-956d-456f-8b87-10db99181fa2}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{fafe6aa4-8870-43ea-bb1b-1b5333bdcad9}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{74286033-c341-4179-8f51-cb62496a45e7}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{8f902f62-74c4-4eda-a3cd-dd09cf23d164}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{b5a2451e-a02f-4418-9205-71f316c8d351}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{cb6a643e-b24a-4e34-a93e-5fb88c091f93}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{842cc0f3-c80d-4918-86f1-019ddd3f205e}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{8b58a480-5f59-4c19-b123-36152b742d6d}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{ba6bc233-d058-4097-b484-80f23c0ade48}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{9319b857-5ad0-4044-ae2b-e111e8f8a1ae}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{3ef5c172-d274-4d7e-b0fe-c542b944e42a}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{bf347055-c403-453d-b5d1-f2f998680542}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6fa8a5-9f07-475d-a8c3-89ba1bd660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585121f7-cc18-486c-ba11-53be32b64d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93809c7b-34bf-437e-9e2c-3243856e49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c1f70ae2-126d-4843-b3b8-a032c10ff2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33c93244-f236-4e54-b3a2-0f05cc97f5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dfc65abf-5847-448f-91f8-0707fc0dd0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a481f236-c09c-43c6-962e-2e5a4fb52c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02b56bb-e929-45c6-9dd6-cec02a09533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ac33fcc8-5096-45e7-8c84-41b5e1710e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8e133e48-e410-44ba-8124-8e0c8ed8e4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f4401627-5531-4ae2-87d8-359ddfd224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9c575436-e946-4097-8c3f-d8864cceba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e7ab7afe-05e0-44af-9a4f-8c265713bd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c2d21ee0-cd0a-4c8c-ae09-82ee3c8b0e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b224432d-48cc-450b-a197-a7108abcc1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d753adf1-625a-4b92-bc6f-f026b659e7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4ffd94e0-9a09-4366-8409-b6a9522080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db9c0acd-a431-4109-a94d-12688c16bb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616f2165-df2f-460d-bc34-0009ba1f34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29404a18-f2c9-4144-83c9-0d75c63248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754ca07a-956d-456f-8b87-10db99181f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fafe6aa4-8870-43ea-bb1b-1b5333bdca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74286033-c341-4179-8f51-cb62496a45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8f902f62-74c4-4eda-a3cd-dd09cf23d1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b5a2451e-a02f-4418-9205-71f316c8d3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b6a643e-b24a-4e34-a93e-5fb88c091f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42cc0f3-c80d-4918-86f1-019ddd3f20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8b58a480-5f59-4c19-b123-36152b742d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ba6bc233-d058-4097-b484-80f23c0ade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9319b857-5ad0-4044-ae2b-e111e8f8a1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3ef5c172-d274-4d7e-b0fe-c542b944e4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bf347055-c403-453d-b5d1-f2f9986805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H20" sqref="H2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陈欣诺!C10+林梓蕾!C10</f>
        <v>31330.7622461171</v>
      </c>
      <c r="D10" s="17">
        <f>陈欣诺!D10+林梓蕾!D10</f>
        <v>40765</v>
      </c>
      <c r="E10" s="17">
        <f>陈欣诺!E10+林梓蕾!E10</f>
        <v>40050</v>
      </c>
      <c r="F10" s="17">
        <f>陈欣诺!F10+林梓蕾!F10</f>
        <v>41850</v>
      </c>
      <c r="G10" s="17">
        <f>陈欣诺!G10+林梓蕾!G10</f>
        <v>41250</v>
      </c>
      <c r="H10" s="17">
        <f>陈欣诺!H10+林梓蕾!H10</f>
        <v>49445</v>
      </c>
      <c r="I10" s="17">
        <f>陈欣诺!I10+林梓蕾!I10</f>
        <v>58590</v>
      </c>
      <c r="J10" s="17">
        <f>陈欣诺!J10+林梓蕾!J10</f>
        <v>54300</v>
      </c>
      <c r="K10" s="17">
        <f>陈欣诺!K10+林梓蕾!K10</f>
        <v>54405</v>
      </c>
      <c r="L10" s="17">
        <f>陈欣诺!L10+林梓蕾!L10</f>
        <v>52800</v>
      </c>
      <c r="M10" s="17">
        <f>陈欣诺!M10+林梓蕾!M10</f>
        <v>54560</v>
      </c>
      <c r="N10" s="17">
        <f>陈欣诺!N10+林梓蕾!N10</f>
        <v>40083</v>
      </c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陈欣诺!C14+林梓蕾!C14</f>
        <v>10156.6162962963</v>
      </c>
      <c r="D14" s="17">
        <f>陈欣诺!D14+林梓蕾!D14</f>
        <v>12968.85</v>
      </c>
      <c r="E14" s="17">
        <f>陈欣诺!E14+林梓蕾!E14</f>
        <v>12721.5</v>
      </c>
      <c r="F14" s="17">
        <f>陈欣诺!F14+林梓蕾!F14</f>
        <v>13286.6</v>
      </c>
      <c r="G14" s="17">
        <f>陈欣诺!G14+林梓蕾!G14</f>
        <v>13093.5</v>
      </c>
      <c r="H14" s="17">
        <f>陈欣诺!H14+林梓蕾!H14</f>
        <v>14962.15</v>
      </c>
      <c r="I14" s="17">
        <f>陈欣诺!I14+林梓蕾!I14</f>
        <v>17608</v>
      </c>
      <c r="J14" s="17">
        <f>陈欣诺!J14+林梓蕾!J14</f>
        <v>16297.5</v>
      </c>
      <c r="K14" s="17">
        <f>陈欣诺!K14+林梓蕾!K14</f>
        <v>16368</v>
      </c>
      <c r="L14" s="17">
        <f>陈欣诺!L14+林梓蕾!L14</f>
        <v>15888</v>
      </c>
      <c r="M14" s="17">
        <f>陈欣诺!M14+林梓蕾!M14</f>
        <v>16417.6</v>
      </c>
      <c r="N14" s="17">
        <f>陈欣诺!N14+林梓蕾!N14</f>
        <v>12018.7</v>
      </c>
      <c r="O14" s="30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陈欣诺!C18+林梓蕾!C18</f>
        <v>122951539</v>
      </c>
      <c r="D18" s="35">
        <f>陈欣诺!D18+林梓蕾!D18</f>
        <v>170044300</v>
      </c>
      <c r="E18" s="35">
        <f>陈欣诺!E18+林梓蕾!E18</f>
        <v>166590000</v>
      </c>
      <c r="F18" s="35">
        <f>陈欣诺!F18+林梓蕾!F18</f>
        <v>173739500</v>
      </c>
      <c r="G18" s="35">
        <f>陈欣诺!G18+林梓蕾!G18</f>
        <v>171447000</v>
      </c>
      <c r="H18" s="35">
        <f>陈欣诺!H18+林梓蕾!H18</f>
        <v>209460800</v>
      </c>
      <c r="I18" s="35">
        <f>陈欣诺!I18+林梓蕾!I18</f>
        <v>248798250</v>
      </c>
      <c r="J18" s="35">
        <f>陈欣诺!J18+林梓蕾!J18</f>
        <v>231705000</v>
      </c>
      <c r="K18" s="35">
        <f>陈欣诺!K18+林梓蕾!K18</f>
        <v>231934250</v>
      </c>
      <c r="L18" s="35">
        <f>陈欣诺!L18+林梓蕾!L18</f>
        <v>225075000</v>
      </c>
      <c r="M18" s="35">
        <f>陈欣诺!M18+林梓蕾!M18</f>
        <v>232577500</v>
      </c>
      <c r="N18" s="35">
        <f>陈欣诺!N18+林梓蕾!N18</f>
        <v>171092100</v>
      </c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陈欣诺!C22+林梓蕾!C22</f>
        <v>3188142.048</v>
      </c>
      <c r="D22" s="21">
        <f>陈欣诺!D22+林梓蕾!D22</f>
        <v>4329256.64</v>
      </c>
      <c r="E22" s="21">
        <f>陈欣诺!E22+林梓蕾!E22</f>
        <v>4234896</v>
      </c>
      <c r="F22" s="21">
        <f>陈欣诺!F22+林梓蕾!F22</f>
        <v>4414610.8</v>
      </c>
      <c r="G22" s="21">
        <f>陈欣诺!G22+林梓蕾!G22</f>
        <v>4355493.6</v>
      </c>
      <c r="H22" s="21">
        <f>陈欣诺!H22+林梓蕾!H22</f>
        <v>5043633.04</v>
      </c>
      <c r="I22" s="21">
        <f>陈欣诺!I22+林梓蕾!I22</f>
        <v>5946289.8</v>
      </c>
      <c r="J22" s="21">
        <f>陈欣诺!J22+林梓蕾!J22</f>
        <v>5530098</v>
      </c>
      <c r="K22" s="21">
        <f>陈欣诺!K22+林梓蕾!K22</f>
        <v>5550029.2</v>
      </c>
      <c r="L22" s="21">
        <f>陈欣诺!L22+林梓蕾!L22</f>
        <v>5386932</v>
      </c>
      <c r="M22" s="21">
        <f>陈欣诺!M22+林梓蕾!M22</f>
        <v>5566496.4</v>
      </c>
      <c r="N22" s="21">
        <f>陈欣诺!N22+林梓蕾!N22</f>
        <v>4079104</v>
      </c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B10" sqref="B10:O2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843122.58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0.956885151034567</v>
      </c>
      <c r="D5" s="5"/>
      <c r="E5" s="5"/>
      <c r="F5" s="6">
        <f>(F7+G7+H7)/(F6+G6+H6)</f>
        <v>0.949683042395043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[3]总目标!B31</f>
        <v>249399.554098361</v>
      </c>
      <c r="D6" s="9">
        <f>[3]总目标!C31</f>
        <v>359988.363934426</v>
      </c>
      <c r="E6" s="9">
        <f>[3]总目标!D31</f>
        <v>283015.081967213</v>
      </c>
      <c r="F6" s="9">
        <f>[3]总目标!E31</f>
        <v>292149.336065573</v>
      </c>
      <c r="G6" s="9">
        <f>[3]总目标!F31</f>
        <v>251744.803278688</v>
      </c>
      <c r="H6" s="9">
        <f>[3]总目标!G31</f>
        <v>343899.516393443</v>
      </c>
      <c r="I6" s="9">
        <f>[3]总目标!H31</f>
        <v>432694.442622951</v>
      </c>
      <c r="J6" s="9">
        <f>[3]总目标!I31</f>
        <v>416424.590163934</v>
      </c>
      <c r="K6" s="9">
        <f>[3]总目标!J31</f>
        <v>396103.770491803</v>
      </c>
      <c r="L6" s="9">
        <f>[3]总目标!K31</f>
        <v>385857.049180328</v>
      </c>
      <c r="M6" s="9">
        <f>[3]总目标!L31</f>
        <v>398718.950819672</v>
      </c>
      <c r="N6" s="9">
        <f>[3]总目标!M31</f>
        <v>262747.868852459</v>
      </c>
      <c r="O6" s="28">
        <f t="shared" ref="O6:O10" si="0">SUM(C6:N6)</f>
        <v>4072743.32786885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177056.2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 t="shared" si="0"/>
        <v>1697049.7594387</v>
      </c>
    </row>
    <row r="8" ht="15.6" spans="1:15">
      <c r="A8" s="10"/>
      <c r="B8" s="1" t="s">
        <v>26</v>
      </c>
      <c r="C8" s="20">
        <f t="shared" ref="C8:O8" si="1">C7/C6</f>
        <v>0.738812073268772</v>
      </c>
      <c r="D8" s="20">
        <f t="shared" si="1"/>
        <v>1.16070619488409</v>
      </c>
      <c r="E8" s="20">
        <f t="shared" si="1"/>
        <v>0.889800825976057</v>
      </c>
      <c r="F8" s="20">
        <f t="shared" si="1"/>
        <v>1.21460063808037</v>
      </c>
      <c r="G8" s="20">
        <f t="shared" si="1"/>
        <v>1.23625832965247</v>
      </c>
      <c r="H8" s="20">
        <f t="shared" si="1"/>
        <v>0.514848644908929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0.416684682245055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[3]陈欣诺!B7</f>
        <v>13608</v>
      </c>
      <c r="D10" s="17">
        <f>[3]陈欣诺!C7</f>
        <v>18135</v>
      </c>
      <c r="E10" s="17">
        <f>[3]陈欣诺!D7</f>
        <v>17250</v>
      </c>
      <c r="F10" s="17">
        <f>[3]陈欣诺!E7</f>
        <v>18600</v>
      </c>
      <c r="G10" s="17">
        <f>[3]陈欣诺!F7</f>
        <v>16950</v>
      </c>
      <c r="H10" s="17">
        <f>[3]陈欣诺!G7</f>
        <v>26815</v>
      </c>
      <c r="I10" s="17">
        <f>[3]陈欣诺!H7</f>
        <v>30225</v>
      </c>
      <c r="J10" s="17">
        <f>[3]陈欣诺!I7</f>
        <v>26850</v>
      </c>
      <c r="K10" s="17">
        <f>[3]陈欣诺!J7</f>
        <v>26505</v>
      </c>
      <c r="L10" s="17">
        <f>[3]陈欣诺!K7</f>
        <v>25800</v>
      </c>
      <c r="M10" s="17">
        <f>[3]陈欣诺!L7</f>
        <v>26660</v>
      </c>
      <c r="N10" s="17">
        <f>[3]陈欣诺!M7</f>
        <v>19933</v>
      </c>
      <c r="O10" s="30">
        <f t="shared" si="0"/>
        <v>267331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[3]陈欣诺!B8</f>
        <v>4403.84</v>
      </c>
      <c r="D14" s="17">
        <f>[3]陈欣诺!C8</f>
        <v>5894.65</v>
      </c>
      <c r="E14" s="17">
        <f>[3]陈欣诺!D8</f>
        <v>5599.5</v>
      </c>
      <c r="F14" s="17">
        <f>[3]陈欣诺!E8</f>
        <v>6023.3</v>
      </c>
      <c r="G14" s="17">
        <f>[3]陈欣诺!F8</f>
        <v>5494.5</v>
      </c>
      <c r="H14" s="17">
        <f>[3]陈欣诺!G8</f>
        <v>7884.85</v>
      </c>
      <c r="I14" s="17">
        <f>[3]陈欣诺!H8</f>
        <v>8734.25</v>
      </c>
      <c r="J14" s="17">
        <f>[3]陈欣诺!I8</f>
        <v>7710</v>
      </c>
      <c r="K14" s="17">
        <f>[3]陈欣诺!J8</f>
        <v>7641.5</v>
      </c>
      <c r="L14" s="17">
        <f>[3]陈欣诺!K8</f>
        <v>7443</v>
      </c>
      <c r="M14" s="17">
        <f>[3]陈欣诺!L8</f>
        <v>7691.1</v>
      </c>
      <c r="N14" s="17">
        <f>[3]陈欣诺!M8</f>
        <v>5719.5</v>
      </c>
      <c r="O14" s="30">
        <f>SUM(C14:N14)</f>
        <v>80239.99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[3]陈欣诺!B4</f>
        <v>56082794</v>
      </c>
      <c r="D18" s="35">
        <f>[3]陈欣诺!C4</f>
        <v>74982800</v>
      </c>
      <c r="E18" s="35">
        <f>[3]陈欣诺!D4</f>
        <v>71130000</v>
      </c>
      <c r="F18" s="35">
        <f>[3]陈欣诺!E4</f>
        <v>76384000</v>
      </c>
      <c r="G18" s="35">
        <f>[3]陈欣诺!F4</f>
        <v>69642000</v>
      </c>
      <c r="H18" s="35">
        <f>[3]陈欣诺!G4</f>
        <v>114554300</v>
      </c>
      <c r="I18" s="35">
        <f>[3]陈欣诺!H4</f>
        <v>129936500</v>
      </c>
      <c r="J18" s="35">
        <f>[3]陈欣诺!I4</f>
        <v>116677500</v>
      </c>
      <c r="K18" s="35">
        <f>[3]陈欣诺!J4</f>
        <v>115064250</v>
      </c>
      <c r="L18" s="35">
        <f>[3]陈欣诺!K4</f>
        <v>111975000</v>
      </c>
      <c r="M18" s="35">
        <f>[3]陈欣诺!L4</f>
        <v>115707500</v>
      </c>
      <c r="N18" s="35">
        <f>[3]陈欣诺!M4</f>
        <v>86663600</v>
      </c>
      <c r="O18" s="31">
        <f>SUM(C18:N18)</f>
        <v>1138800244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[3]陈欣诺!B5/12.5</f>
        <v>1448886.656</v>
      </c>
      <c r="D22" s="21">
        <f>[3]陈欣诺!C5/12.5</f>
        <v>1951234.24</v>
      </c>
      <c r="E22" s="21">
        <f>[3]陈欣诺!D5/12.5</f>
        <v>1848696</v>
      </c>
      <c r="F22" s="21">
        <f>[3]陈欣诺!E5/12.5</f>
        <v>1980776</v>
      </c>
      <c r="G22" s="21">
        <f>[3]陈欣诺!F5/12.5</f>
        <v>1807761.6</v>
      </c>
      <c r="H22" s="21">
        <f>[3]陈欣诺!G5/12.5</f>
        <v>2668375.84</v>
      </c>
      <c r="I22" s="21">
        <f>[3]陈欣诺!H5/12.5</f>
        <v>2970469.6</v>
      </c>
      <c r="J22" s="21">
        <f>[3]陈欣诺!I5/12.5</f>
        <v>2650272</v>
      </c>
      <c r="K22" s="21">
        <f>[3]陈欣诺!J5/12.5</f>
        <v>2624683.2</v>
      </c>
      <c r="L22" s="21">
        <f>[3]陈欣诺!K5/12.5</f>
        <v>2555952</v>
      </c>
      <c r="M22" s="21">
        <f>[3]陈欣诺!L5/12.5</f>
        <v>2641150.4</v>
      </c>
      <c r="N22" s="21">
        <f>[3]陈欣诺!M5/12.5</f>
        <v>1966937.6</v>
      </c>
      <c r="O22" s="28">
        <f>SUM(C22:N22)</f>
        <v>27115195.136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1" sqref="G31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6.4444444444444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1374258.04</v>
      </c>
      <c r="D4" s="4"/>
      <c r="E4" s="4"/>
      <c r="F4" s="3">
        <f>(F7+G7+H7)</f>
        <v>1440330.92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1.00675391826253</v>
      </c>
      <c r="D5" s="5"/>
      <c r="E5" s="5"/>
      <c r="F5" s="6">
        <f>(F7+G7+H7)/(F6+G6+H6)</f>
        <v>1.15870955261306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372843</v>
      </c>
      <c r="D6" s="9">
        <f>[3]总目标!C44</f>
        <v>566214.491803279</v>
      </c>
      <c r="E6" s="9">
        <f>[3]总目标!D44</f>
        <v>425981.18852459</v>
      </c>
      <c r="F6" s="9">
        <f>[3]总目标!E44</f>
        <v>428093.165983607</v>
      </c>
      <c r="G6" s="9">
        <f>[3]总目标!F44</f>
        <v>438328.647540984</v>
      </c>
      <c r="H6" s="9">
        <f>[3]总目标!G44</f>
        <v>376625.606557377</v>
      </c>
      <c r="I6" s="9">
        <f>[3]总目标!H44</f>
        <v>516638.599385246</v>
      </c>
      <c r="J6" s="9">
        <f>[3]总目标!I44</f>
        <v>499972.838114754</v>
      </c>
      <c r="K6" s="9">
        <f>[3]总目标!J44</f>
        <v>490032.5</v>
      </c>
      <c r="L6" s="9">
        <f>[3]总目标!K44</f>
        <v>474225</v>
      </c>
      <c r="M6" s="9">
        <f>[3]总目标!L44</f>
        <v>490032.5</v>
      </c>
      <c r="N6" s="9">
        <f>[3]总目标!M44</f>
        <v>318392.868852459</v>
      </c>
      <c r="O6" s="28">
        <f t="shared" ref="O6:O10" si="0">SUM(C6:N6)</f>
        <v>5397380.4067623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280693.58</v>
      </c>
      <c r="D7" s="12">
        <f>[3]总目标!C45+[3]总目标!C46+[3]总目标!C47+[3]总目标!C48+[3]总目标!C49</f>
        <v>698300.67</v>
      </c>
      <c r="E7" s="12">
        <f>[3]总目标!D45+[3]总目标!D46+[3]总目标!D47+[3]总目标!D48+[3]总目标!D49</f>
        <v>395263.79</v>
      </c>
      <c r="F7" s="12">
        <f>[3]总目标!E45+[3]总目标!E46+[3]总目标!E47+[3]总目标!E48+[3]总目标!E49</f>
        <v>496825</v>
      </c>
      <c r="G7" s="12">
        <f>[3]总目标!F45+[3]总目标!F46+[3]总目标!F47+[3]总目标!F48+[3]总目标!F49</f>
        <v>593668.09</v>
      </c>
      <c r="H7" s="12">
        <f>[3]总目标!G45+[3]总目标!G46+[3]总目标!G47+[3]总目标!G48+[3]总目标!G49</f>
        <v>349837.83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 t="shared" si="0"/>
        <v>2814588.96</v>
      </c>
    </row>
    <row r="8" ht="15.6" spans="1:15">
      <c r="A8" s="10"/>
      <c r="B8" s="1" t="s">
        <v>26</v>
      </c>
      <c r="C8" s="20">
        <f t="shared" ref="C8:O8" si="1">C7/C6</f>
        <v>0.752846586901189</v>
      </c>
      <c r="D8" s="20">
        <f t="shared" si="1"/>
        <v>1.2332794022563</v>
      </c>
      <c r="E8" s="20">
        <f t="shared" si="1"/>
        <v>0.927890246442615</v>
      </c>
      <c r="F8" s="20">
        <f t="shared" si="1"/>
        <v>1.1605534483562</v>
      </c>
      <c r="G8" s="20">
        <f t="shared" si="1"/>
        <v>1.35439034918312</v>
      </c>
      <c r="H8" s="20">
        <f t="shared" si="1"/>
        <v>0.928874255783519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0.521473149543739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[3]林梓蕾!B7</f>
        <v>17722.7622461171</v>
      </c>
      <c r="D10" s="17">
        <f>[3]林梓蕾!C7</f>
        <v>22630</v>
      </c>
      <c r="E10" s="17">
        <f>[3]林梓蕾!D7</f>
        <v>22800</v>
      </c>
      <c r="F10" s="17">
        <f>[3]林梓蕾!E7</f>
        <v>23250</v>
      </c>
      <c r="G10" s="17">
        <f>[3]林梓蕾!F7</f>
        <v>24300</v>
      </c>
      <c r="H10" s="17">
        <f>[3]林梓蕾!G7</f>
        <v>22630</v>
      </c>
      <c r="I10" s="17">
        <f>[3]林梓蕾!H7</f>
        <v>28365</v>
      </c>
      <c r="J10" s="17">
        <f>[3]林梓蕾!I7</f>
        <v>27450</v>
      </c>
      <c r="K10" s="17">
        <f>[3]林梓蕾!J7</f>
        <v>27900</v>
      </c>
      <c r="L10" s="17">
        <f>[3]林梓蕾!K7</f>
        <v>27000</v>
      </c>
      <c r="M10" s="17">
        <f>[3]林梓蕾!L7</f>
        <v>27900</v>
      </c>
      <c r="N10" s="17">
        <f>[3]林梓蕾!M7</f>
        <v>20150</v>
      </c>
      <c r="O10" s="30">
        <f t="shared" si="0"/>
        <v>292097.762246117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[3]林梓蕾!B8</f>
        <v>5752.7762962963</v>
      </c>
      <c r="D14" s="17">
        <f>[3]林梓蕾!C8</f>
        <v>7074.2</v>
      </c>
      <c r="E14" s="17">
        <f>[3]林梓蕾!D8</f>
        <v>7122</v>
      </c>
      <c r="F14" s="17">
        <f>[3]林梓蕾!E8</f>
        <v>7263.3</v>
      </c>
      <c r="G14" s="17">
        <f>[3]林梓蕾!F8</f>
        <v>7599</v>
      </c>
      <c r="H14" s="17">
        <f>[3]林梓蕾!G8</f>
        <v>7077.3</v>
      </c>
      <c r="I14" s="17">
        <f>[3]林梓蕾!H8</f>
        <v>8873.75</v>
      </c>
      <c r="J14" s="17">
        <f>[3]林梓蕾!I8</f>
        <v>8587.5</v>
      </c>
      <c r="K14" s="17">
        <f>[3]林梓蕾!J8</f>
        <v>8726.5</v>
      </c>
      <c r="L14" s="17">
        <f>[3]林梓蕾!K8</f>
        <v>8445</v>
      </c>
      <c r="M14" s="17">
        <f>[3]林梓蕾!L8</f>
        <v>8726.5</v>
      </c>
      <c r="N14" s="17">
        <f>[3]林梓蕾!M8</f>
        <v>6299.2</v>
      </c>
      <c r="O14" s="36">
        <f>SUM(C14:N14)</f>
        <v>91547.0262962963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[3]林梓蕾!B4</f>
        <v>66868745</v>
      </c>
      <c r="D18" s="35">
        <f>[3]林梓蕾!C4</f>
        <v>95061500</v>
      </c>
      <c r="E18" s="35">
        <f>[3]林梓蕾!D4</f>
        <v>95460000</v>
      </c>
      <c r="F18" s="35">
        <f>[3]林梓蕾!E4</f>
        <v>97355500</v>
      </c>
      <c r="G18" s="35">
        <f>[3]林梓蕾!F4</f>
        <v>101805000</v>
      </c>
      <c r="H18" s="35">
        <f>[3]林梓蕾!G4</f>
        <v>94906500</v>
      </c>
      <c r="I18" s="35">
        <f>[3]林梓蕾!H4</f>
        <v>118861750</v>
      </c>
      <c r="J18" s="35">
        <f>[3]林梓蕾!I4</f>
        <v>115027500</v>
      </c>
      <c r="K18" s="35">
        <f>[3]林梓蕾!J4</f>
        <v>116870000</v>
      </c>
      <c r="L18" s="35">
        <f>[3]林梓蕾!K4</f>
        <v>113100000</v>
      </c>
      <c r="M18" s="35">
        <f>[3]林梓蕾!L4</f>
        <v>116870000</v>
      </c>
      <c r="N18" s="35">
        <f>[3]林梓蕾!M4</f>
        <v>84428500</v>
      </c>
      <c r="O18" s="31">
        <f>SUM(C18:N18)</f>
        <v>1216614995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[3]林梓蕾!B5/12.5</f>
        <v>1739255.392</v>
      </c>
      <c r="D22" s="21">
        <f>[3]林梓蕾!C5/12.5</f>
        <v>2378022.4</v>
      </c>
      <c r="E22" s="21">
        <f>[3]林梓蕾!D5/12.5</f>
        <v>2386200</v>
      </c>
      <c r="F22" s="21">
        <f>[3]林梓蕾!E5/12.5</f>
        <v>2433834.8</v>
      </c>
      <c r="G22" s="21">
        <f>[3]林梓蕾!F5/12.5</f>
        <v>2547732</v>
      </c>
      <c r="H22" s="21">
        <f>[3]林梓蕾!G5/12.5</f>
        <v>2375257.2</v>
      </c>
      <c r="I22" s="21">
        <f>[3]林梓蕾!H5/12.5</f>
        <v>2975820.2</v>
      </c>
      <c r="J22" s="21">
        <f>[3]林梓蕾!I5/12.5</f>
        <v>2879826</v>
      </c>
      <c r="K22" s="21">
        <f>[3]林梓蕾!J5/12.5</f>
        <v>2925346</v>
      </c>
      <c r="L22" s="21">
        <f>[3]林梓蕾!K5/12.5</f>
        <v>2830980</v>
      </c>
      <c r="M22" s="21">
        <f>[3]林梓蕾!L5/12.5</f>
        <v>2925346</v>
      </c>
      <c r="N22" s="21">
        <f>[3]林梓蕾!M5/12.5</f>
        <v>2112166.4</v>
      </c>
      <c r="O22" s="28">
        <f>SUM(C22:N22)</f>
        <v>30509786.392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0.924484046695538</v>
      </c>
      <c r="D5" s="5"/>
      <c r="E5" s="5"/>
      <c r="F5" s="6">
        <f>(F7+G7+H7)/(F6+G6+H6)</f>
        <v>0.340697665668934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[3]总目标!B58</f>
        <v>278839</v>
      </c>
      <c r="D6" s="9">
        <f>[3]总目标!C58</f>
        <v>672748.786885246</v>
      </c>
      <c r="E6" s="9">
        <f>[3]总目标!D58</f>
        <v>528274.180327869</v>
      </c>
      <c r="F6" s="9">
        <f>[3]总目标!E58</f>
        <v>526052.975409836</v>
      </c>
      <c r="G6" s="9">
        <f>[3]总目标!F58</f>
        <v>511352.459016394</v>
      </c>
      <c r="H6" s="9">
        <f>[3]总目标!G58</f>
        <v>451240.573770492</v>
      </c>
      <c r="I6" s="9">
        <f>[3]总目标!H58</f>
        <v>540132.311475409</v>
      </c>
      <c r="J6" s="9">
        <f>[3]总目标!I58</f>
        <v>525321.147540984</v>
      </c>
      <c r="K6" s="9">
        <f>[3]总目标!J58</f>
        <v>507300.262295082</v>
      </c>
      <c r="L6" s="9">
        <f>[3]总目标!K58</f>
        <v>494517.049180328</v>
      </c>
      <c r="M6" s="9">
        <f>[3]总目标!L58</f>
        <v>507296.196721311</v>
      </c>
      <c r="N6" s="9">
        <f>[3]总目标!M58</f>
        <v>361615.508196722</v>
      </c>
      <c r="O6" s="28">
        <f>SUM(C6:N6)</f>
        <v>5904690.45081967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229311.59</v>
      </c>
      <c r="D7" s="12">
        <f>[3]总目标!C59+[3]总目标!C60+[3]总目标!C61+[3]总目标!C62+[3]总目标!C63</f>
        <v>770766.4</v>
      </c>
      <c r="E7" s="12">
        <f>[3]总目标!D59+[3]总目标!D60+[3]总目标!D61+[3]总目标!D62+[3]总目标!D63</f>
        <v>368030.79</v>
      </c>
      <c r="F7" s="12">
        <f>[3]总目标!E59+[3]总目标!E60+[3]总目标!E61+[3]总目标!E62+[3]总目标!E63</f>
        <v>363130.13</v>
      </c>
      <c r="G7" s="12">
        <v>144048.09</v>
      </c>
      <c r="H7" s="12">
        <f>[3]总目标!G59+[3]总目标!G60+[3]总目标!G61+[3]总目标!G62+[3]总目标!G63</f>
        <v>0</v>
      </c>
      <c r="I7" s="12">
        <f>[3]总目标!H59+[3]总目标!H60+[3]总目标!H61+[3]总目标!H62+[3]总目标!H63</f>
        <v>0</v>
      </c>
      <c r="J7" s="12">
        <f>[3]总目标!I59+[3]总目标!I60+[3]总目标!I61+[3]总目标!I62+[3]总目标!I63</f>
        <v>0</v>
      </c>
      <c r="K7" s="12">
        <f>[3]总目标!J59+[3]总目标!J60+[3]总目标!J61+[3]总目标!J62+[3]总目标!J63</f>
        <v>0</v>
      </c>
      <c r="L7" s="12">
        <f>[3]总目标!K59+[3]总目标!K60+[3]总目标!K61+[3]总目标!K62+[3]总目标!K63</f>
        <v>0</v>
      </c>
      <c r="M7" s="12">
        <f>[3]总目标!L59+[3]总目标!L60+[3]总目标!L61+[3]总目标!L62+[3]总目标!L63</f>
        <v>0</v>
      </c>
      <c r="N7" s="12">
        <f>[3]总目标!M59+[3]总目标!M60+[3]总目标!M61+[3]总目标!M62+[3]总目标!M63</f>
        <v>0</v>
      </c>
      <c r="O7" s="12">
        <f>SUM(C7:N7)</f>
        <v>1875287</v>
      </c>
    </row>
    <row r="8" ht="15.6" spans="1:15">
      <c r="A8" s="10"/>
      <c r="B8" s="1" t="s">
        <v>26</v>
      </c>
      <c r="C8" s="20">
        <f t="shared" ref="C8:O8" si="0">C7/C6</f>
        <v>0.822379903815463</v>
      </c>
      <c r="D8" s="20">
        <f t="shared" si="0"/>
        <v>1.14569719786276</v>
      </c>
      <c r="E8" s="20">
        <f t="shared" si="0"/>
        <v>0.696666245871764</v>
      </c>
      <c r="F8" s="20">
        <f t="shared" si="0"/>
        <v>0.690291942017994</v>
      </c>
      <c r="G8" s="20">
        <f t="shared" si="0"/>
        <v>0.281700200048088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0.317592770631977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6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4"/>
      <c r="B18" s="35" t="s">
        <v>33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11" sqref="C11:H11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3" width="14.1111111111111" customWidth="1"/>
    <col min="14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67790.26</v>
      </c>
      <c r="D4" s="4"/>
      <c r="E4" s="4"/>
      <c r="F4" s="3">
        <f>(F7+G7+H7)</f>
        <v>108244.66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0.265607553978094</v>
      </c>
      <c r="D5" s="5"/>
      <c r="E5" s="5"/>
      <c r="F5" s="6">
        <f>(F7+G7+H7)/(F6+G6+H6)</f>
        <v>0.219900676917594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[3]总目标!B70</f>
        <v>34481</v>
      </c>
      <c r="D6" s="9">
        <f>[3]总目标!C70</f>
        <v>86791.2971311476</v>
      </c>
      <c r="E6" s="9">
        <f>[3]总目标!D70</f>
        <v>133954.856557377</v>
      </c>
      <c r="F6" s="9">
        <f>[3]总目标!E70</f>
        <v>141243.464139344</v>
      </c>
      <c r="G6" s="9">
        <f>[3]总目标!F70</f>
        <v>195306.823770492</v>
      </c>
      <c r="H6" s="9">
        <f>[3]总目标!G70</f>
        <v>155693.126331967</v>
      </c>
      <c r="I6" s="9">
        <f>[3]总目标!H70</f>
        <v>213216.284836066</v>
      </c>
      <c r="J6" s="9">
        <f>[3]总目标!I70</f>
        <v>206338.340163934</v>
      </c>
      <c r="K6" s="9">
        <f>[3]总目标!J70</f>
        <v>195186.830942623</v>
      </c>
      <c r="L6" s="9">
        <f>[3]总目标!K70</f>
        <v>187961.834016393</v>
      </c>
      <c r="M6" s="9">
        <f>[3]总目标!L70</f>
        <v>195186.830942623</v>
      </c>
      <c r="N6" s="9">
        <f>[3]总目标!M70</f>
        <v>98770.5102459016</v>
      </c>
      <c r="O6" s="28">
        <f t="shared" ref="O6:O10" si="0">SUM(C6:N6)</f>
        <v>1844131.19907787</v>
      </c>
    </row>
    <row r="7" ht="15.6" spans="1:15">
      <c r="A7" s="10"/>
      <c r="B7" s="11" t="s">
        <v>25</v>
      </c>
      <c r="C7" s="12">
        <f>[3]总目标!B71+[3]总目标!B72+[3]总目标!B73+[3]总目标!B74+[3]总目标!B75</f>
        <v>14803.76</v>
      </c>
      <c r="D7" s="12">
        <f>[3]总目标!C71+[3]总目标!C72+[3]总目标!C73+[3]总目标!C74+[3]总目标!C75</f>
        <v>38817.95</v>
      </c>
      <c r="E7" s="12">
        <f>[3]总目标!D71+[3]总目标!D72+[3]总目标!D73+[3]总目标!D74+[3]总目标!D75</f>
        <v>14168.55</v>
      </c>
      <c r="F7" s="12">
        <f>[3]总目标!E71+[3]总目标!E72+[3]总目标!E73+[3]总目标!E74+[3]总目标!E75</f>
        <v>49822.88</v>
      </c>
      <c r="G7" s="12">
        <v>21779.88</v>
      </c>
      <c r="H7" s="12">
        <f>[3]总目标!G71+[3]总目标!G72+[3]总目标!G73+[3]总目标!G74+[3]总目标!G75</f>
        <v>36641.9</v>
      </c>
      <c r="I7" s="12">
        <f>[3]总目标!H71+[3]总目标!H72+[3]总目标!H73+[3]总目标!H74+[3]总目标!H75</f>
        <v>0</v>
      </c>
      <c r="J7" s="12">
        <f>[3]总目标!I71+[3]总目标!I72+[3]总目标!I73+[3]总目标!I74+[3]总目标!I75</f>
        <v>0</v>
      </c>
      <c r="K7" s="12">
        <f>[3]总目标!J71+[3]总目标!J72+[3]总目标!J73+[3]总目标!J74+[3]总目标!J75</f>
        <v>0</v>
      </c>
      <c r="L7" s="12">
        <f>[3]总目标!K71+[3]总目标!K72+[3]总目标!K73+[3]总目标!K74+[3]总目标!K75</f>
        <v>0</v>
      </c>
      <c r="M7" s="12">
        <f>[3]总目标!L71+[3]总目标!L72+[3]总目标!L73+[3]总目标!L74+[3]总目标!L75</f>
        <v>0</v>
      </c>
      <c r="N7" s="12">
        <f>[3]总目标!M71+[3]总目标!M72+[3]总目标!M73+[3]总目标!M74+[3]总目标!M75</f>
        <v>0</v>
      </c>
      <c r="O7" s="12">
        <f t="shared" si="0"/>
        <v>176034.92</v>
      </c>
    </row>
    <row r="8" ht="15.6" spans="1:15">
      <c r="A8" s="10"/>
      <c r="B8" s="1" t="s">
        <v>26</v>
      </c>
      <c r="C8" s="20">
        <f t="shared" ref="C8:O8" si="1">C7/C6</f>
        <v>0.42933093587773</v>
      </c>
      <c r="D8" s="20">
        <f t="shared" si="1"/>
        <v>0.447256248991687</v>
      </c>
      <c r="E8" s="20">
        <f t="shared" si="1"/>
        <v>0.105771081124865</v>
      </c>
      <c r="F8" s="20">
        <f t="shared" si="1"/>
        <v>0.35274467603575</v>
      </c>
      <c r="G8" s="20">
        <f t="shared" si="1"/>
        <v>0.111516226517481</v>
      </c>
      <c r="H8" s="20">
        <f t="shared" si="1"/>
        <v>0.235346934468209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0.0954568308849304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[3]包家豪!B7</f>
        <v>12430</v>
      </c>
      <c r="D10" s="17">
        <f>[3]包家豪!C7</f>
        <v>8990</v>
      </c>
      <c r="E10" s="17">
        <f>[3]包家豪!D7</f>
        <v>8400</v>
      </c>
      <c r="F10" s="17">
        <f>[3]包家豪!E7</f>
        <v>8680</v>
      </c>
      <c r="G10" s="17">
        <f>[3]包家豪!F7</f>
        <v>12060</v>
      </c>
      <c r="H10" s="17">
        <f>[3]包家豪!G7</f>
        <v>10323</v>
      </c>
      <c r="I10" s="17">
        <f>[3]包家豪!H7</f>
        <v>12958</v>
      </c>
      <c r="J10" s="17">
        <f>[3]包家豪!I7</f>
        <v>12540</v>
      </c>
      <c r="K10" s="17">
        <f>[3]包家豪!J7</f>
        <v>12090</v>
      </c>
      <c r="L10" s="17">
        <f>[3]包家豪!K7</f>
        <v>11640</v>
      </c>
      <c r="M10" s="17">
        <f>[3]包家豪!L7</f>
        <v>12090</v>
      </c>
      <c r="N10" s="17">
        <f>[3]包家豪!M7</f>
        <v>6696</v>
      </c>
      <c r="O10" s="30">
        <f t="shared" si="0"/>
        <v>128897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[3]包家豪!B8</f>
        <v>3858</v>
      </c>
      <c r="D14" s="17">
        <f>[3]包家豪!C8</f>
        <v>2869.05</v>
      </c>
      <c r="E14" s="17">
        <f>[3]包家豪!D8</f>
        <v>2679</v>
      </c>
      <c r="F14" s="17">
        <f>[3]包家豪!E8</f>
        <v>2768.3</v>
      </c>
      <c r="G14" s="17">
        <f>[3]包家豪!F8</f>
        <v>3850.5</v>
      </c>
      <c r="H14" s="17">
        <f>[3]包家豪!G8</f>
        <v>3292.045</v>
      </c>
      <c r="I14" s="17">
        <f>[3]包家豪!H8</f>
        <v>4135.4</v>
      </c>
      <c r="J14" s="17">
        <f>[3]包家豪!I8</f>
        <v>4002</v>
      </c>
      <c r="K14" s="17">
        <f>[3]包家豪!J8</f>
        <v>3857.95</v>
      </c>
      <c r="L14" s="17">
        <f>[3]包家豪!K8</f>
        <v>3714</v>
      </c>
      <c r="M14" s="17">
        <f>[3]包家豪!L8</f>
        <v>3857.95</v>
      </c>
      <c r="N14" s="17">
        <f>[3]包家豪!M8</f>
        <v>2135.9</v>
      </c>
      <c r="O14" s="36">
        <f>SUM(C14:N14)</f>
        <v>41020.095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[3]包家豪!B4</f>
        <v>42401820</v>
      </c>
      <c r="D18" s="35">
        <f>[3]包家豪!C4</f>
        <v>37308500</v>
      </c>
      <c r="E18" s="35">
        <f>[3]包家豪!D4</f>
        <v>34860000</v>
      </c>
      <c r="F18" s="35">
        <f>[3]包家豪!E4</f>
        <v>36022000</v>
      </c>
      <c r="G18" s="35">
        <f>[3]包家豪!F4</f>
        <v>50049000</v>
      </c>
      <c r="H18" s="35">
        <f>[3]包家豪!G4</f>
        <v>42840450</v>
      </c>
      <c r="I18" s="35">
        <f>[3]包家豪!H4</f>
        <v>53775700</v>
      </c>
      <c r="J18" s="35">
        <f>[3]包家豪!I4</f>
        <v>52041000</v>
      </c>
      <c r="K18" s="35">
        <f>[3]包家豪!J4</f>
        <v>50173500</v>
      </c>
      <c r="L18" s="35">
        <f>[3]包家豪!K4</f>
        <v>48306000</v>
      </c>
      <c r="M18" s="35">
        <f>[3]包家豪!L4</f>
        <v>50173500</v>
      </c>
      <c r="N18" s="35">
        <f>[3]包家豪!M4</f>
        <v>27788400</v>
      </c>
      <c r="O18" s="31">
        <f>SUM(C18:N18)</f>
        <v>525739870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[3]包家豪!B5/12.5</f>
        <v>1039144.32</v>
      </c>
      <c r="D22" s="21">
        <f>[3]包家豪!C5/12.5</f>
        <v>952524.6</v>
      </c>
      <c r="E22" s="21">
        <f>[3]包家豪!D5/12.5</f>
        <v>889428</v>
      </c>
      <c r="F22" s="21">
        <f>[3]包家豪!E5/12.5</f>
        <v>919075.6</v>
      </c>
      <c r="G22" s="21">
        <f>[3]包家豪!F5/12.5</f>
        <v>1278366</v>
      </c>
      <c r="H22" s="21">
        <f>[3]包家豪!G5/12.5</f>
        <v>1092958.94</v>
      </c>
      <c r="I22" s="21">
        <f>[3]包家豪!H5/12.5</f>
        <v>1372952.8</v>
      </c>
      <c r="J22" s="21">
        <f>[3]包家豪!I5/12.5</f>
        <v>1328664</v>
      </c>
      <c r="K22" s="21">
        <f>[3]包家豪!J5/12.5</f>
        <v>1280839.4</v>
      </c>
      <c r="L22" s="21">
        <f>[3]包家豪!K5/12.5</f>
        <v>1233048</v>
      </c>
      <c r="M22" s="21">
        <f>[3]包家豪!L5/12.5</f>
        <v>1280839.4</v>
      </c>
      <c r="N22" s="21">
        <f>[3]包家豪!M5/12.5</f>
        <v>709118.8</v>
      </c>
      <c r="O22" s="28">
        <f>SUM(C22:N22)</f>
        <v>13376959.86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33" sqref="E33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1043940.28</v>
      </c>
      <c r="D4" s="4"/>
      <c r="E4" s="4"/>
      <c r="F4" s="3">
        <f>(F7+G7+H7)</f>
        <v>495277.39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0.921997922968085</v>
      </c>
      <c r="D5" s="5"/>
      <c r="E5" s="5"/>
      <c r="F5" s="6">
        <f>(F7+G7+H7)/(F6+G6+H6)</f>
        <v>0.456719870619683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[3]总目标!B82</f>
        <v>249612</v>
      </c>
      <c r="D6" s="9">
        <f>[3]总目标!C82</f>
        <v>485112.393442623</v>
      </c>
      <c r="E6" s="9">
        <f>[3]总目标!D82</f>
        <v>397534.426229508</v>
      </c>
      <c r="F6" s="9">
        <f>[3]总目标!E82</f>
        <v>391039.081967214</v>
      </c>
      <c r="G6" s="9">
        <f>[3]总目标!F82</f>
        <v>369194.754098361</v>
      </c>
      <c r="H6" s="9">
        <f>[3]总目标!G82</f>
        <v>324188.852459017</v>
      </c>
      <c r="I6" s="9">
        <f>[3]总目标!H82</f>
        <v>367365.245901639</v>
      </c>
      <c r="J6" s="9">
        <f>[3]总目标!I82</f>
        <v>355514.754098361</v>
      </c>
      <c r="K6" s="9">
        <f>[3]总目标!J82</f>
        <v>342618.098360656</v>
      </c>
      <c r="L6" s="9">
        <f>[3]总目标!K82</f>
        <v>336998.360655738</v>
      </c>
      <c r="M6" s="9">
        <f>[3]总目标!L82</f>
        <v>344526.885245901</v>
      </c>
      <c r="N6" s="9">
        <f>[3]总目标!M82</f>
        <v>252862.426229508</v>
      </c>
      <c r="O6" s="28">
        <f t="shared" ref="O6:O10" si="0">SUM(C6:N6)</f>
        <v>4216567.27868853</v>
      </c>
    </row>
    <row r="7" ht="15.6" spans="1:15">
      <c r="A7" s="10"/>
      <c r="B7" s="11" t="s">
        <v>25</v>
      </c>
      <c r="C7" s="12">
        <f>[3]总目标!B83+[3]总目标!B84+[3]总目标!B85+[3]总目标!B86+[3]总目标!B87</f>
        <v>251227.75</v>
      </c>
      <c r="D7" s="12">
        <f>[3]总目标!C83+[3]总目标!C84+[3]总目标!C85+[3]总目标!C86+[3]总目标!C87</f>
        <v>461397.51</v>
      </c>
      <c r="E7" s="12">
        <f>[3]总目标!D83+[3]总目标!D84+[3]总目标!D85+[3]总目标!D86+[3]总目标!D87</f>
        <v>331315.02</v>
      </c>
      <c r="F7" s="12">
        <f>[3]总目标!E83+[3]总目标!E84+[3]总目标!E85+[3]总目标!E86+[3]总目标!E87</f>
        <v>245728.5</v>
      </c>
      <c r="G7" s="12">
        <f>[3]总目标!F83+[3]总目标!F84+[3]总目标!F85+[3]总目标!F86+[3]总目标!F87</f>
        <v>165047.71</v>
      </c>
      <c r="H7" s="12">
        <f>[3]总目标!G83+[3]总目标!G84+[3]总目标!G85+[3]总目标!G86+[3]总目标!G87</f>
        <v>84501.18</v>
      </c>
      <c r="I7" s="12">
        <f>[3]总目标!H83+[3]总目标!H84+[3]总目标!H85+[3]总目标!H86+[3]总目标!H87</f>
        <v>0</v>
      </c>
      <c r="J7" s="12">
        <f>[3]总目标!I83+[3]总目标!I84+[3]总目标!I85+[3]总目标!I86+[3]总目标!I87</f>
        <v>0</v>
      </c>
      <c r="K7" s="12">
        <f>[3]总目标!J83+[3]总目标!J84+[3]总目标!J85+[3]总目标!J86+[3]总目标!J87</f>
        <v>0</v>
      </c>
      <c r="L7" s="12">
        <f>[3]总目标!K83+[3]总目标!K84+[3]总目标!K85+[3]总目标!K86+[3]总目标!K87</f>
        <v>0</v>
      </c>
      <c r="M7" s="12">
        <f>[3]总目标!L83+[3]总目标!L84+[3]总目标!L85+[3]总目标!L86+[3]总目标!L87</f>
        <v>0</v>
      </c>
      <c r="N7" s="12">
        <f>[3]总目标!M83+[3]总目标!M84+[3]总目标!M85+[3]总目标!M86+[3]总目标!M87</f>
        <v>0</v>
      </c>
      <c r="O7" s="12">
        <f t="shared" si="0"/>
        <v>1539217.67</v>
      </c>
    </row>
    <row r="8" ht="15.6" spans="1:15">
      <c r="A8" s="10"/>
      <c r="B8" s="1" t="s">
        <v>26</v>
      </c>
      <c r="C8" s="20">
        <f t="shared" ref="C8:O8" si="1">C7/C6</f>
        <v>1.00647304616765</v>
      </c>
      <c r="D8" s="20">
        <f t="shared" si="1"/>
        <v>0.951114661750179</v>
      </c>
      <c r="E8" s="20">
        <f t="shared" si="1"/>
        <v>0.833424725356295</v>
      </c>
      <c r="F8" s="20">
        <f t="shared" si="1"/>
        <v>0.62839882592759</v>
      </c>
      <c r="G8" s="20">
        <f t="shared" si="1"/>
        <v>0.447047820067421</v>
      </c>
      <c r="H8" s="20">
        <f t="shared" si="1"/>
        <v>0.260654181533532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0.365040462600834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[3]杨皓!B7</f>
        <v>15652</v>
      </c>
      <c r="D10" s="17">
        <f>[3]杨皓!C7</f>
        <v>25575</v>
      </c>
      <c r="E10" s="17">
        <f>[3]杨皓!D7</f>
        <v>22800</v>
      </c>
      <c r="F10" s="17">
        <f>[3]杨皓!E7</f>
        <v>23560</v>
      </c>
      <c r="G10" s="17">
        <f>[3]杨皓!F7</f>
        <v>22350</v>
      </c>
      <c r="H10" s="17">
        <f>[3]杨皓!G7</f>
        <v>21390</v>
      </c>
      <c r="I10" s="17">
        <f>[3]杨皓!H7</f>
        <v>19840</v>
      </c>
      <c r="J10" s="17">
        <f>[3]杨皓!I7</f>
        <v>19200</v>
      </c>
      <c r="K10" s="17">
        <f>[3]杨皓!J7</f>
        <v>19065</v>
      </c>
      <c r="L10" s="17">
        <f>[3]杨皓!K7</f>
        <v>18750</v>
      </c>
      <c r="M10" s="17">
        <f>[3]杨皓!L7</f>
        <v>19375</v>
      </c>
      <c r="N10" s="17">
        <f>[3]杨皓!M7</f>
        <v>15810</v>
      </c>
      <c r="O10" s="30">
        <f t="shared" si="0"/>
        <v>243367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[3]杨皓!B8</f>
        <v>4931</v>
      </c>
      <c r="D14" s="17">
        <f>[3]杨皓!C8</f>
        <v>8069.3</v>
      </c>
      <c r="E14" s="17">
        <f>[3]杨皓!D8</f>
        <v>7200</v>
      </c>
      <c r="F14" s="17">
        <f>[3]杨皓!E8</f>
        <v>7446.2</v>
      </c>
      <c r="G14" s="17">
        <f>[3]杨皓!F8</f>
        <v>7068</v>
      </c>
      <c r="H14" s="17">
        <f>[3]杨皓!G8</f>
        <v>6770.4</v>
      </c>
      <c r="I14" s="17">
        <f>[3]杨皓!H8</f>
        <v>6348.8</v>
      </c>
      <c r="J14" s="17">
        <f>[3]杨皓!I8</f>
        <v>6144</v>
      </c>
      <c r="K14" s="17">
        <f>[3]杨皓!J8</f>
        <v>6100.8</v>
      </c>
      <c r="L14" s="17">
        <f>[3]杨皓!K8</f>
        <v>6000</v>
      </c>
      <c r="M14" s="17">
        <f>[3]杨皓!L8</f>
        <v>6200</v>
      </c>
      <c r="N14" s="17">
        <f>[3]杨皓!M8</f>
        <v>5059.2</v>
      </c>
      <c r="O14" s="36">
        <f>SUM(C14:N14)</f>
        <v>77337.7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[3]杨皓!B4</f>
        <v>60945529</v>
      </c>
      <c r="D18" s="35">
        <f>[3]杨皓!C4</f>
        <v>105245000</v>
      </c>
      <c r="E18" s="35">
        <f>[3]杨皓!D4</f>
        <v>93900000</v>
      </c>
      <c r="F18" s="35">
        <f>[3]杨皓!E4</f>
        <v>97045500</v>
      </c>
      <c r="G18" s="35">
        <f>[3]杨皓!F4</f>
        <v>92040000</v>
      </c>
      <c r="H18" s="35">
        <f>[3]杨皓!G4</f>
        <v>88164000</v>
      </c>
      <c r="I18" s="35">
        <f>[3]杨皓!H4</f>
        <v>82258500</v>
      </c>
      <c r="J18" s="35">
        <f>[3]杨皓!I4</f>
        <v>79605000</v>
      </c>
      <c r="K18" s="35">
        <f>[3]杨皓!J4</f>
        <v>79050000</v>
      </c>
      <c r="L18" s="35">
        <f>[3]杨皓!K4</f>
        <v>77737500</v>
      </c>
      <c r="M18" s="35">
        <f>[3]杨皓!L4</f>
        <v>80328750</v>
      </c>
      <c r="N18" s="35">
        <f>[3]杨皓!M4</f>
        <v>65541750</v>
      </c>
      <c r="O18" s="31">
        <f>SUM(C18:N18)</f>
        <v>1001861529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[3]杨皓!B5/12.5</f>
        <v>1540624.32</v>
      </c>
      <c r="D22" s="21">
        <f>[3]杨皓!C5/12.5</f>
        <v>2657568</v>
      </c>
      <c r="E22" s="21">
        <f>[3]杨皓!D5/12.5</f>
        <v>2373120</v>
      </c>
      <c r="F22" s="21">
        <f>[3]杨皓!E5/12.5</f>
        <v>2454604.8</v>
      </c>
      <c r="G22" s="21">
        <f>[3]杨皓!F5/12.5</f>
        <v>2329344</v>
      </c>
      <c r="H22" s="21">
        <f>[3]杨皓!G5/12.5</f>
        <v>2233190.4</v>
      </c>
      <c r="I22" s="21">
        <f>[3]杨皓!H5/12.5</f>
        <v>2105817.6</v>
      </c>
      <c r="J22" s="21">
        <f>[3]杨皓!I5/12.5</f>
        <v>2037888</v>
      </c>
      <c r="K22" s="21">
        <f>[3]杨皓!J5/12.5</f>
        <v>2023680</v>
      </c>
      <c r="L22" s="21">
        <f>[3]杨皓!K5/12.5</f>
        <v>1990080</v>
      </c>
      <c r="M22" s="21">
        <f>[3]杨皓!L5/12.5</f>
        <v>2056416</v>
      </c>
      <c r="N22" s="21">
        <f>[3]杨皓!M5/12.5</f>
        <v>1677868.8</v>
      </c>
      <c r="O22" s="28">
        <f>SUM(C22:N22)</f>
        <v>25480201.92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$A1:$XFD104857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{78e53764-6827-4788-9f66-e3e5f72980aa}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{c15a8863-f298-4ff7-ab29-2e645aa09030}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{2c89d0f0-7c72-45d5-9ad0-c8efc7334b82}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{705859b8-1d1c-459b-a515-d3e7e90e93e0}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{e13f53ea-62de-45e7-aef1-34e493bf3dbe}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{2811f53a-0755-451f-ae07-c4ce26416500}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{dc7a145c-7c57-41f1-8ab0-138010a5a7cf}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{b8f0a08d-2582-438c-b46f-1d199077c0c3}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{da210f3e-dab0-4936-ac18-c96e5b5be4a2}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{ed29bcc3-3715-4a42-ac1f-605bf22ae187}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{916dc37a-b1a8-43fa-8309-521c3fcc54b4}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{0ec417d2-5a62-4e8b-8e57-6b0b3324f5c3}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e53764-6827-4788-9f66-e3e5f72980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c15a8863-f298-4ff7-ab29-2e645aa090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2c89d0f0-7c72-45d5-9ad0-c8efc7334b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705859b8-1d1c-459b-a515-d3e7e90e93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e13f53ea-62de-45e7-aef1-34e493bf3d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2811f53a-0755-451f-ae07-c4ce264165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dc7a145c-7c57-41f1-8ab0-138010a5a7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b8f0a08d-2582-438c-b46f-1d199077c0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da210f3e-dab0-4936-ac18-c96e5b5be4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ed29bcc3-3715-4a42-ac1f-605bf22ae1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916dc37a-b1a8-43fa-8309-521c3fcc54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0ec417d2-5a62-4e8b-8e57-6b0b3324f5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{7b1fda9a-65c1-4651-8157-c5ad4349e5e9}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{79708284-c93d-4663-90fd-b750a0fc0ce5}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{8a1b8c20-6667-4e2d-ad53-72687b778da5}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{fda0b3a7-72d7-40b7-9c55-f33ee2be2bc2}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{c0635b5c-8448-4dec-bfe0-2c3b07080324}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{6b4229f5-3522-4b89-8264-b99c364f9cbe}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{17c8f3c2-b673-405d-9481-b1fadea05c2f}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{bbe56499-ad7d-4639-b113-ee40c42bdd5b}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{418ed7ac-f684-49be-a7f1-d551cfce090e}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{31cd6dba-1d24-4b75-b71b-733f98eacbc4}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{a04706c3-4667-4fe1-8bfa-6f0286778c5a}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{fb90e259-0f01-4a4e-9975-761710cd5961}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1fda9a-65c1-4651-8157-c5ad4349e5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79708284-c93d-4663-90fd-b750a0fc0c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8a1b8c20-6667-4e2d-ad53-72687b778d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fda0b3a7-72d7-40b7-9c55-f33ee2be2b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0635b5c-8448-4dec-bfe0-2c3b070803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6b4229f5-3522-4b89-8264-b99c364f9c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17c8f3c2-b673-405d-9481-b1fadea05c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bbe56499-ad7d-4639-b113-ee40c42bdd5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418ed7ac-f684-49be-a7f1-d551cfce09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31cd6dba-1d24-4b75-b71b-733f98eacb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a04706c3-4667-4fe1-8bfa-6f0286778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fb90e259-0f01-4a4e-9975-761710cd59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2026-07-20T03:46:52Z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