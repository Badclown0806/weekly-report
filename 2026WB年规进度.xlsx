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 activeTab="3"/>
  </bookViews>
  <sheets>
    <sheet name="毛立新" sheetId="1" r:id="rId1"/>
    <sheet name="张梦瑶" sheetId="2" r:id="rId2"/>
    <sheet name="江凯伦" sheetId="4" r:id="rId3"/>
    <sheet name="陈欣诺" sheetId="5" r:id="rId4"/>
    <sheet name="林梓蕾" sheetId="6" r:id="rId5"/>
    <sheet name="陈敏华" sheetId="7" r:id="rId6"/>
    <sheet name="包家豪" sheetId="8" r:id="rId7"/>
  </sheets>
  <externalReferences>
    <externalReference r:id="rId8"/>
    <externalReference r:id="rId9"/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<sst xmlns="http://schemas.openxmlformats.org/spreadsheetml/2006/main" count="210" uniqueCount="42">
  <si>
    <t>2026年度WB进度</t>
  </si>
  <si>
    <t>项目</t>
  </si>
  <si>
    <t>月度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</si>
  <si>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</si>
  <si>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</si>
  <si>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</si>
  <si>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</si>
  <si>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</si>
  <si>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</si>
  <si>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</si>
  <si>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</si>
  <si>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</si>
  <si>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</si>
  <si>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</si>
  <si>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</si>
  <si>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汇总</t>
  </si>
  <si>
    <t>季度</t>
  </si>
  <si>
    <t>Q1</t>
  </si>
  <si>
    <t>Q2</t>
  </si>
  <si>
    <t>Q3</t>
  </si>
  <si>
    <t>Q4</t>
  </si>
  <si>
    <t>季度财报</t>
  </si>
  <si>
    <t>季度财报进度</t>
  </si>
  <si>
    <t>目标完成情况</t>
  </si>
  <si>
    <t>月度目标
利润（人民币）</t>
  </si>
  <si>
    <t>实际利润（人民币）</t>
  </si>
  <si>
    <t>目标完成进度</t>
  </si>
  <si>
    <t>销量目标</t>
  </si>
  <si>
    <t>销量完成</t>
  </si>
  <si>
    <t>销量完成进度</t>
  </si>
  <si>
    <t>实销目标</t>
  </si>
  <si>
    <t>实销完成</t>
  </si>
  <si>
    <t>实销完成进度</t>
  </si>
  <si>
    <t>GMV目标</t>
  </si>
  <si>
    <t>GMV完成</t>
  </si>
  <si>
    <t>GMV完成进度</t>
  </si>
  <si>
    <t>GSV目标</t>
  </si>
  <si>
    <t>GSV完成</t>
  </si>
  <si>
    <t>GSV完成进度</t>
  </si>
  <si>
    <t>退款率</t>
  </si>
  <si>
    <t>退货率</t>
  </si>
  <si>
    <t>利润率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</si>
</sst>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  <numFmt numFmtId="177" formatCode="&quot;￥&quot;#,##0_);[Red]\(&quot;￥&quot;#,##0\)"/>
    <numFmt numFmtId="178" formatCode="0_ "/>
    <numFmt numFmtId="179" formatCode="#,##0[$₽-419];[Red]\-#,##0[$₽-419]"/>
    <numFmt numFmtId="180" formatCode="0.00_ "/>
    <numFmt numFmtId="181" formatCode="#,##0[$₽-419];\-#,##0[$₽-419]"/>
  </numFmts>
  <fonts count="29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微软雅黑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sz val="14"/>
      <color theme="1"/>
      <name val="宋体"/>
      <charset val="134"/>
      <scheme val="major"/>
    </font>
    <font>
      <sz val="11"/>
      <color rgb="FF000000"/>
      <name val="宋体"/>
      <charset val="134"/>
    </font>
    <font>
      <sz val="11"/>
      <name val="宋体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2" borderId="2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0" fontId="16" fillId="0" borderId="27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3" borderId="29" applyNumberFormat="0" applyAlignment="0" applyProtection="0">
      <alignment vertical="center"/>
    </xf>
    <xf numFmtId="0" fontId="19" fillId="14" borderId="30" applyNumberFormat="0" applyAlignment="0" applyProtection="0">
      <alignment vertical="center"/>
    </xf>
    <xf numFmtId="0" fontId="20" fillId="14" borderId="29" applyNumberFormat="0" applyAlignment="0" applyProtection="0">
      <alignment vertical="center"/>
    </xf>
    <xf numFmtId="0" fontId="21" fillId="15" borderId="31" applyNumberFormat="0" applyAlignment="0" applyProtection="0">
      <alignment vertical="center"/>
    </xf>
    <xf numFmtId="0" fontId="22" fillId="0" borderId="32" applyNumberFormat="0" applyFill="0" applyAlignment="0" applyProtection="0">
      <alignment vertical="center"/>
    </xf>
    <xf numFmtId="0" fontId="23" fillId="0" borderId="33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</cellStyleXfs>
  <cellXfs count="11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9" fontId="1" fillId="0" borderId="1" xfId="3" applyFont="1" applyBorder="1" applyAlignment="1">
      <alignment horizontal="center" vertical="center"/>
    </xf>
    <xf numFmtId="10" fontId="1" fillId="2" borderId="1" xfId="3" applyNumberFormat="1" applyFont="1" applyFill="1" applyBorder="1" applyAlignment="1">
      <alignment horizontal="center" vertical="center"/>
    </xf>
    <xf numFmtId="10" fontId="1" fillId="3" borderId="1" xfId="3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77" fontId="2" fillId="4" borderId="1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10" fontId="1" fillId="0" borderId="1" xfId="3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6" borderId="4" xfId="0" applyFont="1" applyFill="1" applyBorder="1" applyAlignment="1">
      <alignment vertical="center"/>
    </xf>
    <xf numFmtId="0" fontId="1" fillId="6" borderId="0" xfId="0" applyFont="1" applyFill="1" applyBorder="1" applyAlignment="1">
      <alignment vertical="center"/>
    </xf>
    <xf numFmtId="178" fontId="1" fillId="0" borderId="1" xfId="0" applyNumberFormat="1" applyFont="1" applyBorder="1" applyAlignment="1">
      <alignment horizontal="center" vertical="center"/>
    </xf>
    <xf numFmtId="179" fontId="1" fillId="0" borderId="3" xfId="0" applyNumberFormat="1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179" fontId="3" fillId="5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7" fontId="3" fillId="5" borderId="1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10" fontId="1" fillId="7" borderId="1" xfId="3" applyNumberFormat="1" applyFont="1" applyFill="1" applyBorder="1" applyAlignment="1">
      <alignment horizontal="center" vertical="center"/>
    </xf>
    <xf numFmtId="10" fontId="1" fillId="8" borderId="1" xfId="3" applyNumberFormat="1" applyFont="1" applyFill="1" applyBorder="1" applyAlignment="1">
      <alignment horizontal="center" vertical="center"/>
    </xf>
    <xf numFmtId="177" fontId="2" fillId="9" borderId="1" xfId="0" applyNumberFormat="1" applyFont="1" applyFill="1" applyBorder="1" applyAlignment="1">
      <alignment horizontal="center" vertical="center"/>
    </xf>
    <xf numFmtId="0" fontId="1" fillId="6" borderId="6" xfId="0" applyFont="1" applyFill="1" applyBorder="1" applyAlignment="1">
      <alignment vertical="center"/>
    </xf>
    <xf numFmtId="0" fontId="2" fillId="9" borderId="1" xfId="0" applyFont="1" applyFill="1" applyBorder="1" applyAlignment="1">
      <alignment horizontal="center" vertical="center"/>
    </xf>
    <xf numFmtId="178" fontId="2" fillId="9" borderId="1" xfId="0" applyNumberFormat="1" applyFont="1" applyFill="1" applyBorder="1" applyAlignment="1">
      <alignment horizontal="center" vertical="center"/>
    </xf>
    <xf numFmtId="179" fontId="2" fillId="9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2" fillId="9" borderId="1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8" xfId="0" applyFont="1" applyFill="1" applyBorder="1" applyAlignment="1" applyProtection="1">
      <alignment horizontal="center" vertical="center"/>
    </xf>
    <xf numFmtId="0" fontId="4" fillId="0" borderId="9" xfId="0" applyFont="1" applyFill="1" applyBorder="1" applyAlignment="1" applyProtection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0" xfId="0" applyFont="1" applyFill="1" applyBorder="1" applyAlignment="1" applyProtection="1">
      <alignment horizontal="center" vertical="center"/>
    </xf>
    <xf numFmtId="0" fontId="4" fillId="0" borderId="11" xfId="0" applyFont="1" applyFill="1" applyBorder="1" applyAlignment="1" applyProtection="1">
      <alignment horizontal="center" vertical="center"/>
    </xf>
    <xf numFmtId="0" fontId="4" fillId="0" borderId="12" xfId="0" applyFont="1" applyFill="1" applyBorder="1" applyAlignment="1" applyProtection="1">
      <alignment horizontal="center" vertical="center"/>
    </xf>
    <xf numFmtId="0" fontId="4" fillId="0" borderId="13" xfId="0" applyFont="1" applyFill="1" applyBorder="1" applyAlignment="1" applyProtection="1">
      <alignment horizontal="center" vertical="center"/>
    </xf>
    <xf numFmtId="9" fontId="4" fillId="0" borderId="14" xfId="0" applyNumberFormat="1" applyFont="1" applyFill="1" applyBorder="1" applyAlignment="1">
      <alignment horizontal="center" vertical="center"/>
    </xf>
    <xf numFmtId="180" fontId="5" fillId="10" borderId="1" xfId="0" applyNumberFormat="1" applyFont="1" applyFill="1" applyBorder="1" applyAlignment="1">
      <alignment horizontal="center" vertical="center"/>
    </xf>
    <xf numFmtId="178" fontId="5" fillId="10" borderId="1" xfId="0" applyNumberFormat="1" applyFont="1" applyFill="1" applyBorder="1" applyAlignment="1">
      <alignment horizontal="center" vertical="center"/>
    </xf>
    <xf numFmtId="10" fontId="4" fillId="0" borderId="1" xfId="0" applyNumberFormat="1" applyFont="1" applyFill="1" applyBorder="1" applyAlignment="1">
      <alignment horizontal="center" vertical="center"/>
    </xf>
    <xf numFmtId="180" fontId="4" fillId="0" borderId="1" xfId="0" applyNumberFormat="1" applyFont="1" applyFill="1" applyBorder="1" applyAlignment="1">
      <alignment horizontal="center" vertical="center" wrapText="1"/>
    </xf>
    <xf numFmtId="180" fontId="4" fillId="0" borderId="1" xfId="0" applyNumberFormat="1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180" fontId="4" fillId="10" borderId="16" xfId="0" applyNumberFormat="1" applyFont="1" applyFill="1" applyBorder="1" applyAlignment="1">
      <alignment horizontal="center" vertical="center"/>
    </xf>
    <xf numFmtId="0" fontId="4" fillId="0" borderId="17" xfId="0" applyFont="1" applyFill="1" applyBorder="1" applyAlignment="1" applyProtection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4" fillId="0" borderId="18" xfId="0" applyFont="1" applyFill="1" applyBorder="1" applyAlignment="1" applyProtection="1">
      <alignment horizontal="center" vertical="center"/>
    </xf>
    <xf numFmtId="0" fontId="4" fillId="0" borderId="19" xfId="0" applyFont="1" applyFill="1" applyBorder="1" applyAlignment="1" applyProtection="1">
      <alignment horizontal="center" vertical="center"/>
    </xf>
    <xf numFmtId="180" fontId="5" fillId="10" borderId="2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9" fontId="1" fillId="0" borderId="0" xfId="3" applyFont="1" applyAlignment="1">
      <alignment horizontal="center" vertical="center"/>
    </xf>
    <xf numFmtId="179" fontId="1" fillId="0" borderId="0" xfId="0" applyNumberFormat="1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179" fontId="1" fillId="0" borderId="3" xfId="0" applyNumberFormat="1" applyFont="1" applyFill="1" applyBorder="1" applyAlignment="1">
      <alignment horizontal="center" vertical="center"/>
    </xf>
    <xf numFmtId="179" fontId="1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76" fontId="1" fillId="7" borderId="1" xfId="0" applyNumberFormat="1" applyFont="1" applyFill="1" applyBorder="1" applyAlignment="1">
      <alignment horizontal="center" vertical="center"/>
    </xf>
    <xf numFmtId="176" fontId="1" fillId="8" borderId="1" xfId="0" applyNumberFormat="1" applyFont="1" applyFill="1" applyBorder="1" applyAlignment="1">
      <alignment horizontal="center" vertical="center"/>
    </xf>
    <xf numFmtId="9" fontId="1" fillId="0" borderId="0" xfId="3" applyFont="1" applyAlignment="1">
      <alignment vertical="center"/>
    </xf>
    <xf numFmtId="0" fontId="1" fillId="0" borderId="0" xfId="3" applyNumberFormat="1" applyFont="1" applyAlignment="1">
      <alignment vertical="center"/>
    </xf>
    <xf numFmtId="181" fontId="1" fillId="0" borderId="1" xfId="0" applyNumberFormat="1" applyFont="1" applyBorder="1" applyAlignment="1">
      <alignment horizontal="center" vertical="center"/>
    </xf>
    <xf numFmtId="10" fontId="1" fillId="0" borderId="0" xfId="3" applyNumberFormat="1" applyFont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21" xfId="0" applyFont="1" applyFill="1" applyBorder="1" applyAlignment="1" applyProtection="1">
      <alignment horizontal="center" vertical="center"/>
    </xf>
    <xf numFmtId="0" fontId="7" fillId="0" borderId="11" xfId="0" applyFont="1" applyFill="1" applyBorder="1" applyAlignment="1" applyProtection="1">
      <alignment horizontal="center" vertical="center"/>
    </xf>
    <xf numFmtId="0" fontId="7" fillId="0" borderId="22" xfId="0" applyFont="1" applyFill="1" applyBorder="1" applyAlignment="1" applyProtection="1">
      <alignment horizontal="center" vertical="center"/>
    </xf>
    <xf numFmtId="0" fontId="7" fillId="0" borderId="13" xfId="0" applyFont="1" applyFill="1" applyBorder="1" applyAlignment="1" applyProtection="1">
      <alignment horizontal="center" vertical="center"/>
    </xf>
    <xf numFmtId="9" fontId="7" fillId="0" borderId="1" xfId="0" applyNumberFormat="1" applyFont="1" applyFill="1" applyBorder="1" applyAlignment="1">
      <alignment horizontal="center" vertical="center"/>
    </xf>
    <xf numFmtId="176" fontId="8" fillId="10" borderId="1" xfId="0" applyNumberFormat="1" applyFont="1" applyFill="1" applyBorder="1" applyAlignment="1">
      <alignment horizontal="center" vertical="center"/>
    </xf>
    <xf numFmtId="176" fontId="7" fillId="0" borderId="1" xfId="3" applyNumberFormat="1" applyFont="1" applyFill="1" applyBorder="1" applyAlignment="1">
      <alignment horizontal="center" vertical="center"/>
    </xf>
    <xf numFmtId="9" fontId="7" fillId="0" borderId="1" xfId="3" applyFont="1" applyFill="1" applyBorder="1" applyAlignment="1">
      <alignment horizontal="center" vertical="center"/>
    </xf>
    <xf numFmtId="8" fontId="7" fillId="0" borderId="1" xfId="0" applyNumberFormat="1" applyFont="1" applyFill="1" applyBorder="1" applyAlignment="1">
      <alignment horizontal="center" vertical="center" wrapText="1"/>
    </xf>
    <xf numFmtId="8" fontId="7" fillId="0" borderId="1" xfId="0" applyNumberFormat="1" applyFont="1" applyFill="1" applyBorder="1" applyAlignment="1">
      <alignment horizontal="center" vertical="center"/>
    </xf>
    <xf numFmtId="8" fontId="7" fillId="10" borderId="1" xfId="0" applyNumberFormat="1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9" fontId="9" fillId="0" borderId="1" xfId="3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178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180" fontId="1" fillId="11" borderId="1" xfId="0" applyNumberFormat="1" applyFont="1" applyFill="1" applyBorder="1" applyAlignment="1">
      <alignment horizontal="center" vertical="center"/>
    </xf>
    <xf numFmtId="0" fontId="7" fillId="0" borderId="23" xfId="0" applyFont="1" applyFill="1" applyBorder="1" applyAlignment="1" applyProtection="1">
      <alignment horizontal="center" vertical="center"/>
    </xf>
    <xf numFmtId="0" fontId="7" fillId="0" borderId="24" xfId="0" applyFont="1" applyFill="1" applyBorder="1" applyAlignment="1" applyProtection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177" fontId="1" fillId="0" borderId="25" xfId="0" applyNumberFormat="1" applyFont="1" applyFill="1" applyBorder="1" applyAlignment="1">
      <alignment horizontal="center" vertical="center"/>
    </xf>
    <xf numFmtId="177" fontId="1" fillId="0" borderId="7" xfId="0" applyNumberFormat="1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font>
        <color rgb="FF9C0006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2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customXml" Target="../customXml/item1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3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2139\WPSDrive\1725300681\WPS&#20225;&#19994;&#20113;&#30424;\&#29790;&#23433;&#24066;&#27700;&#28404;&#30005;&#23376;&#21830;&#21153;&#26377;&#38480;&#20844;&#21496;\&#22242;&#38431;&#25991;&#26723;\&#20420;&#32599;&#26031;&#36816;&#33829;&#20108;&#37096;\&#31435;&#26032;\2026WB&#24180;&#35268;&#36827;&#2423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2139\WPSDrive\1725300681\WPS&#20225;&#19994;&#20113;&#30424;\&#29790;&#23433;&#24066;&#27700;&#28404;&#30005;&#23376;&#21830;&#21153;&#26377;&#38480;&#20844;&#21496;\&#22242;&#38431;&#25991;&#26723;\&#20420;&#32599;&#26031;&#36816;&#33829;&#20108;&#37096;\&#26790;&#29814;\2026WB&#24180;&#35268;&#36827;&#24230;-&#26790;&#29814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2139\WPSDrive\1725300681\WPS&#20225;&#19994;&#20113;&#30424;\&#29790;&#23433;&#24066;&#27700;&#28404;&#30005;&#23376;&#21830;&#21153;&#26377;&#38480;&#20844;&#21496;\&#22242;&#38431;&#25991;&#26723;\&#20420;&#32599;&#26031;&#36816;&#33829;&#19968;&#37096;\WB&#36816;&#33829;&#25253;&#34920;\&#30446;&#26631;\2026&#24180;&#20420;&#32599;&#26031;&#30446;&#26631;&#25286;&#20998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周度汇总分析报告"/>
      <sheetName val="2026年度男装汇总分析"/>
      <sheetName val="2026年度总数据汇总"/>
      <sheetName val="2026年月度数据汇总--俄罗斯"/>
      <sheetName val="2026年数据登记--俄罗斯"/>
      <sheetName val="2026目标拆解--俄罗斯"/>
      <sheetName val="特别隐藏版（勿动、勿看）"/>
      <sheetName val="思琪版"/>
      <sheetName val="2025年度数据"/>
      <sheetName val="2025年数据源"/>
    </sheetNames>
    <sheetDataSet>
      <sheetData sheetId="0"/>
      <sheetData sheetId="1">
        <row r="4">
          <cell r="C4">
            <v>935295.04</v>
          </cell>
        </row>
        <row r="4">
          <cell r="F4">
            <v>636263.828053184</v>
          </cell>
        </row>
        <row r="4">
          <cell r="I4">
            <v>0</v>
          </cell>
        </row>
        <row r="4">
          <cell r="L4">
            <v>0</v>
          </cell>
        </row>
        <row r="5">
          <cell r="C5">
            <v>0.725215936135818</v>
          </cell>
        </row>
        <row r="5">
          <cell r="F5">
            <v>0.382564185654428</v>
          </cell>
        </row>
        <row r="5">
          <cell r="I5">
            <v>0</v>
          </cell>
        </row>
        <row r="5">
          <cell r="L5">
            <v>0</v>
          </cell>
        </row>
        <row r="6">
          <cell r="C6">
            <v>335792.794830819</v>
          </cell>
          <cell r="D6">
            <v>495821.970600399</v>
          </cell>
          <cell r="E6">
            <v>546265.878674808</v>
          </cell>
          <cell r="F6">
            <v>614961.359102038</v>
          </cell>
          <cell r="G6">
            <v>531399.518028897</v>
          </cell>
          <cell r="H6">
            <v>549112.835296526</v>
          </cell>
          <cell r="I6">
            <v>691873.249103936</v>
          </cell>
          <cell r="J6">
            <v>669554.757197358</v>
          </cell>
          <cell r="K6">
            <v>667313.309995024</v>
          </cell>
          <cell r="L6">
            <v>619182.362865127</v>
          </cell>
          <cell r="M6">
            <v>639821.774960632</v>
          </cell>
          <cell r="N6">
            <v>358899.96389988</v>
          </cell>
        </row>
        <row r="7">
          <cell r="C7">
            <v>301715.93</v>
          </cell>
          <cell r="D7">
            <v>484842.75</v>
          </cell>
          <cell r="E7">
            <v>148736.36</v>
          </cell>
          <cell r="F7">
            <v>284968.47</v>
          </cell>
          <cell r="G7">
            <v>269170.203815175</v>
          </cell>
          <cell r="H7">
            <v>82125.1542380092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10">
          <cell r="C10">
            <v>20440</v>
          </cell>
          <cell r="D10">
            <v>30070</v>
          </cell>
          <cell r="E10">
            <v>33000</v>
          </cell>
          <cell r="F10">
            <v>37200</v>
          </cell>
          <cell r="G10">
            <v>32100</v>
          </cell>
          <cell r="H10">
            <v>33170</v>
          </cell>
          <cell r="I10">
            <v>41850</v>
          </cell>
          <cell r="J10">
            <v>40500</v>
          </cell>
          <cell r="K10">
            <v>40300</v>
          </cell>
          <cell r="L10">
            <v>37500</v>
          </cell>
          <cell r="M10">
            <v>38750</v>
          </cell>
          <cell r="N10">
            <v>21700</v>
          </cell>
        </row>
        <row r="11">
          <cell r="C11">
            <v>20744</v>
          </cell>
          <cell r="D11">
            <v>35092</v>
          </cell>
          <cell r="E11">
            <v>21224</v>
          </cell>
          <cell r="F11">
            <v>27150</v>
          </cell>
          <cell r="G11">
            <v>16959</v>
          </cell>
          <cell r="H11">
            <v>4091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4">
          <cell r="C14">
            <v>6897.35764350642</v>
          </cell>
          <cell r="D14">
            <v>10111.6874213955</v>
          </cell>
          <cell r="E14">
            <v>11086.2267444023</v>
          </cell>
          <cell r="F14">
            <v>12472.0552607735</v>
          </cell>
          <cell r="G14">
            <v>10728.7647155245</v>
          </cell>
          <cell r="H14">
            <v>11086.390206042</v>
          </cell>
          <cell r="I14">
            <v>13984.8055722318</v>
          </cell>
          <cell r="J14">
            <v>13533.6828118373</v>
          </cell>
          <cell r="K14">
            <v>13410.0089029832</v>
          </cell>
          <cell r="L14">
            <v>12490.9058483349</v>
          </cell>
          <cell r="M14">
            <v>12907.2693766127</v>
          </cell>
          <cell r="N14">
            <v>7213.14826393716</v>
          </cell>
        </row>
        <row r="15">
          <cell r="C15">
            <v>6365</v>
          </cell>
          <cell r="D15">
            <v>9824</v>
          </cell>
          <cell r="E15">
            <v>5779</v>
          </cell>
          <cell r="F15">
            <v>7790</v>
          </cell>
          <cell r="G15">
            <v>5201</v>
          </cell>
          <cell r="H15">
            <v>1382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8">
          <cell r="C18">
            <v>80493092.3882099</v>
          </cell>
          <cell r="D18">
            <v>119089072.754788</v>
          </cell>
          <cell r="E18">
            <v>131407647.769309</v>
          </cell>
          <cell r="F18">
            <v>147885532.814373</v>
          </cell>
          <cell r="G18">
            <v>127926788.132262</v>
          </cell>
          <cell r="H18">
            <v>132191014.403337</v>
          </cell>
          <cell r="I18">
            <v>166757115.903943</v>
          </cell>
          <cell r="J18">
            <v>161377854.10059</v>
          </cell>
          <cell r="K18">
            <v>160880813.862657</v>
          </cell>
          <cell r="L18">
            <v>149498436.887819</v>
          </cell>
          <cell r="M18">
            <v>154481718.117413</v>
          </cell>
          <cell r="N18">
            <v>86489221.9910386</v>
          </cell>
        </row>
        <row r="19">
          <cell r="C19">
            <v>87962394</v>
          </cell>
          <cell r="D19">
            <v>148640998</v>
          </cell>
          <cell r="E19">
            <v>95808740</v>
          </cell>
          <cell r="F19">
            <v>115730945</v>
          </cell>
          <cell r="G19">
            <v>71404757</v>
          </cell>
          <cell r="H19">
            <v>20007967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2">
          <cell r="C22">
            <v>2071988.2707281</v>
          </cell>
          <cell r="D22">
            <v>3065494.8716562</v>
          </cell>
          <cell r="E22">
            <v>3382589.69538433</v>
          </cell>
          <cell r="F22">
            <v>3806750.1236496</v>
          </cell>
          <cell r="G22">
            <v>3292988.21374131</v>
          </cell>
          <cell r="H22">
            <v>3402754.48753268</v>
          </cell>
          <cell r="I22">
            <v>4292527.19658247</v>
          </cell>
          <cell r="J22">
            <v>4154058.57733787</v>
          </cell>
          <cell r="K22">
            <v>4141264.16837033</v>
          </cell>
          <cell r="L22">
            <v>3848268.19958426</v>
          </cell>
          <cell r="M22">
            <v>3976543.80623707</v>
          </cell>
          <cell r="N22">
            <v>2226335.80339472</v>
          </cell>
        </row>
        <row r="23">
          <cell r="C23">
            <v>2304945.05</v>
          </cell>
          <cell r="D23">
            <v>3779574.67</v>
          </cell>
          <cell r="E23">
            <v>2243082.76</v>
          </cell>
          <cell r="F23">
            <v>3000516.43</v>
          </cell>
          <cell r="G23">
            <v>2098469.2321</v>
          </cell>
          <cell r="H23">
            <v>519949.8425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30">
          <cell r="C30">
            <v>95377.04</v>
          </cell>
          <cell r="D30">
            <v>119066.85</v>
          </cell>
          <cell r="E30">
            <v>30031.35</v>
          </cell>
          <cell r="F30">
            <v>51410.92</v>
          </cell>
          <cell r="G30">
            <v>60265.923414952</v>
          </cell>
          <cell r="H30">
            <v>31393.69787581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C31">
            <v>7692</v>
          </cell>
          <cell r="D31">
            <v>11912</v>
          </cell>
          <cell r="E31">
            <v>7904</v>
          </cell>
          <cell r="F31">
            <v>8430</v>
          </cell>
          <cell r="G31">
            <v>5569</v>
          </cell>
          <cell r="H31">
            <v>1636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C32">
            <v>2167</v>
          </cell>
          <cell r="D32">
            <v>3045</v>
          </cell>
          <cell r="E32">
            <v>1899</v>
          </cell>
          <cell r="F32">
            <v>2131</v>
          </cell>
          <cell r="G32">
            <v>1563</v>
          </cell>
          <cell r="H32">
            <v>494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C33">
            <v>31682878</v>
          </cell>
          <cell r="D33">
            <v>51404385</v>
          </cell>
          <cell r="E33">
            <v>35413028</v>
          </cell>
          <cell r="F33">
            <v>35782129</v>
          </cell>
          <cell r="G33">
            <v>24581134</v>
          </cell>
          <cell r="H33">
            <v>7574176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C34">
            <v>784712.64</v>
          </cell>
          <cell r="D34">
            <v>1179892.49</v>
          </cell>
          <cell r="E34">
            <v>724171.24</v>
          </cell>
          <cell r="F34">
            <v>833536.12</v>
          </cell>
          <cell r="G34">
            <v>635264.5292</v>
          </cell>
          <cell r="H34">
            <v>185644.9406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  <row r="38">
          <cell r="C38">
            <v>87149.73</v>
          </cell>
          <cell r="D38">
            <v>219445.1</v>
          </cell>
          <cell r="E38">
            <v>53171.99</v>
          </cell>
          <cell r="F38">
            <v>99083.11</v>
          </cell>
          <cell r="G38">
            <v>105724.500133215</v>
          </cell>
          <cell r="H38">
            <v>24878.6113452192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C39">
            <v>6846</v>
          </cell>
          <cell r="D39">
            <v>12313</v>
          </cell>
          <cell r="E39">
            <v>6346</v>
          </cell>
          <cell r="F39">
            <v>8877</v>
          </cell>
          <cell r="G39">
            <v>5984</v>
          </cell>
          <cell r="H39">
            <v>1370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C40">
            <v>2045</v>
          </cell>
          <cell r="D40">
            <v>3425</v>
          </cell>
          <cell r="E40">
            <v>1778</v>
          </cell>
          <cell r="F40">
            <v>2609</v>
          </cell>
          <cell r="G40">
            <v>1837</v>
          </cell>
          <cell r="H40">
            <v>418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</row>
        <row r="41">
          <cell r="C41">
            <v>29395955</v>
          </cell>
          <cell r="D41">
            <v>54186589</v>
          </cell>
          <cell r="E41">
            <v>29718775</v>
          </cell>
          <cell r="F41">
            <v>40066145</v>
          </cell>
          <cell r="G41">
            <v>25655595</v>
          </cell>
          <cell r="H41">
            <v>6330356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</row>
        <row r="42">
          <cell r="C42">
            <v>724801.18</v>
          </cell>
          <cell r="D42">
            <v>1376012.34</v>
          </cell>
          <cell r="E42">
            <v>729031.55</v>
          </cell>
          <cell r="F42">
            <v>1044149.57</v>
          </cell>
          <cell r="G42">
            <v>766748.3629</v>
          </cell>
          <cell r="H42">
            <v>162763.4057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6">
          <cell r="C46">
            <v>19664.47</v>
          </cell>
          <cell r="D46">
            <v>40558.93</v>
          </cell>
          <cell r="E46">
            <v>3358.53</v>
          </cell>
          <cell r="F46">
            <v>80999.07</v>
          </cell>
          <cell r="G46">
            <v>54454.5906640612</v>
          </cell>
          <cell r="H46">
            <v>11184.0622072288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C47">
            <v>2218</v>
          </cell>
          <cell r="D47">
            <v>5628</v>
          </cell>
          <cell r="E47">
            <v>3837</v>
          </cell>
          <cell r="F47">
            <v>6433</v>
          </cell>
          <cell r="G47">
            <v>3603</v>
          </cell>
          <cell r="H47">
            <v>778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C48">
            <v>652</v>
          </cell>
          <cell r="D48">
            <v>1522</v>
          </cell>
          <cell r="E48">
            <v>942</v>
          </cell>
          <cell r="F48">
            <v>1816</v>
          </cell>
          <cell r="G48">
            <v>1074</v>
          </cell>
          <cell r="H48">
            <v>252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C49">
            <v>10051298</v>
          </cell>
          <cell r="D49">
            <v>23601988</v>
          </cell>
          <cell r="E49">
            <v>17122483</v>
          </cell>
          <cell r="F49">
            <v>26000920</v>
          </cell>
          <cell r="G49">
            <v>13595716</v>
          </cell>
          <cell r="H49">
            <v>3352359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  <row r="50">
          <cell r="C50">
            <v>243663.93</v>
          </cell>
          <cell r="D50">
            <v>559323.77</v>
          </cell>
          <cell r="E50">
            <v>361220.61</v>
          </cell>
          <cell r="F50">
            <v>658949.99</v>
          </cell>
          <cell r="G50">
            <v>407799.909</v>
          </cell>
          <cell r="H50">
            <v>90790.1303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</row>
        <row r="54">
          <cell r="C54">
            <v>99524.69</v>
          </cell>
          <cell r="D54">
            <v>105771.87</v>
          </cell>
          <cell r="E54">
            <v>62174.49</v>
          </cell>
          <cell r="F54">
            <v>53475.37</v>
          </cell>
          <cell r="G54">
            <v>48725.1896029472</v>
          </cell>
          <cell r="H54">
            <v>14668.7828097512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</row>
        <row r="55">
          <cell r="C55">
            <v>3988</v>
          </cell>
          <cell r="D55">
            <v>5239</v>
          </cell>
          <cell r="E55">
            <v>3137</v>
          </cell>
          <cell r="F55">
            <v>3410</v>
          </cell>
          <cell r="G55">
            <v>1803</v>
          </cell>
          <cell r="H55">
            <v>307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</row>
        <row r="56">
          <cell r="C56">
            <v>1501</v>
          </cell>
          <cell r="D56">
            <v>1832</v>
          </cell>
          <cell r="E56">
            <v>1160</v>
          </cell>
          <cell r="F56">
            <v>1234</v>
          </cell>
          <cell r="G56">
            <v>727</v>
          </cell>
          <cell r="H56">
            <v>218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</row>
        <row r="57">
          <cell r="C57">
            <v>16832263</v>
          </cell>
          <cell r="D57">
            <v>19448036</v>
          </cell>
          <cell r="E57">
            <v>13554454</v>
          </cell>
          <cell r="F57">
            <v>13881751</v>
          </cell>
          <cell r="G57">
            <v>7572312</v>
          </cell>
          <cell r="H57">
            <v>2751076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</row>
        <row r="58">
          <cell r="C58">
            <v>551767.3</v>
          </cell>
          <cell r="D58">
            <v>664346.07</v>
          </cell>
          <cell r="E58">
            <v>428659.36</v>
          </cell>
          <cell r="F58">
            <v>463880.75</v>
          </cell>
          <cell r="G58">
            <v>288656.431</v>
          </cell>
          <cell r="H58">
            <v>80751.3659000001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</row>
        <row r="62">
          <cell r="C62">
            <v>63564.22</v>
          </cell>
          <cell r="D62">
            <v>186252.86</v>
          </cell>
          <cell r="E62">
            <v>23902.22</v>
          </cell>
          <cell r="F62">
            <v>154982.1</v>
          </cell>
          <cell r="G62">
            <v>58803.505650204</v>
          </cell>
          <cell r="H62">
            <v>11848.3851122148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</row>
        <row r="63">
          <cell r="C63">
            <v>3019</v>
          </cell>
          <cell r="D63">
            <v>10048</v>
          </cell>
          <cell r="E63">
            <v>5984</v>
          </cell>
          <cell r="F63">
            <v>11196</v>
          </cell>
          <cell r="G63">
            <v>7971</v>
          </cell>
          <cell r="H63">
            <v>1339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</row>
        <row r="64">
          <cell r="C64">
            <v>782</v>
          </cell>
          <cell r="D64">
            <v>2400</v>
          </cell>
          <cell r="E64">
            <v>1177</v>
          </cell>
          <cell r="F64">
            <v>2441</v>
          </cell>
          <cell r="G64">
            <v>1758</v>
          </cell>
          <cell r="H64">
            <v>446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</row>
        <row r="65">
          <cell r="C65">
            <v>17294018</v>
          </cell>
          <cell r="D65">
            <v>50353143</v>
          </cell>
          <cell r="E65">
            <v>30943005</v>
          </cell>
          <cell r="F65">
            <v>56092797</v>
          </cell>
          <cell r="G65">
            <v>36922189</v>
          </cell>
          <cell r="H65">
            <v>8733473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</row>
        <row r="66">
          <cell r="C66">
            <v>324669.67</v>
          </cell>
          <cell r="D66">
            <v>1018496.8</v>
          </cell>
          <cell r="E66">
            <v>504766.74</v>
          </cell>
          <cell r="F66">
            <v>1069518.42</v>
          </cell>
          <cell r="G66">
            <v>797308.5406</v>
          </cell>
          <cell r="H66">
            <v>192321.5225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</row>
      </sheetData>
      <sheetData sheetId="2"/>
      <sheetData sheetId="3"/>
      <sheetData sheetId="4"/>
      <sheetData sheetId="5"/>
      <sheetData sheetId="6">
        <row r="1">
          <cell r="A1" t="str">
            <v>2026年度WB进度</v>
          </cell>
        </row>
        <row r="2">
          <cell r="A2" t="str">
            <v>项目</v>
          </cell>
          <cell r="B2" t="str">
            <v>月度</v>
          </cell>
          <cell r="C2" t="str">
            <v>2月</v>
          </cell>
          <cell r="D2" t="str">
            <v>3月</v>
          </cell>
          <cell r="E2" t="str">
            <v>4月</v>
          </cell>
          <cell r="F2" t="str">
            <v>5月</v>
          </cell>
          <cell r="G2" t="str">
            <v>6月</v>
          </cell>
          <cell r="H2" t="str">
            <v>7月</v>
          </cell>
          <cell r="I2" t="str">
            <v>8月</v>
          </cell>
          <cell r="J2" t="str">
            <v>9月</v>
          </cell>
          <cell r="K2" t="str">
            <v>10月</v>
          </cell>
          <cell r="L2" t="str">
            <v>11月</v>
          </cell>
          <cell r="M2" t="str">
            <v>12月</v>
          </cell>
          <cell r="N2" t="str">
            <v>1月</v>
          </cell>
          <cell r="O2" t="str">
            <v>汇总</v>
          </cell>
        </row>
        <row r="3">
          <cell r="B3" t="str">
            <v>季度</v>
          </cell>
          <cell r="C3" t="str">
            <v>Q1</v>
          </cell>
        </row>
        <row r="3">
          <cell r="F3" t="str">
            <v>Q2</v>
          </cell>
        </row>
        <row r="3">
          <cell r="I3" t="str">
            <v>Q3</v>
          </cell>
        </row>
        <row r="3">
          <cell r="L3" t="str">
            <v>Q4</v>
          </cell>
        </row>
        <row r="4">
          <cell r="B4" t="str">
            <v>季度财报</v>
          </cell>
        </row>
        <row r="5">
          <cell r="B5" t="str">
            <v>季度财报进度</v>
          </cell>
        </row>
        <row r="6">
          <cell r="A6" t="str">
            <v>目标完成情况</v>
          </cell>
          <cell r="B6" t="str">
            <v>月度目标
利润（人民币）</v>
          </cell>
        </row>
        <row r="7">
          <cell r="B7" t="str">
            <v>实际利润（人民币）</v>
          </cell>
        </row>
        <row r="8">
          <cell r="B8" t="str">
            <v>目标完成进度</v>
          </cell>
        </row>
        <row r="10">
          <cell r="B10" t="str">
            <v>销量目标</v>
          </cell>
        </row>
        <row r="11">
          <cell r="B11" t="str">
            <v>销量完成</v>
          </cell>
        </row>
        <row r="12">
          <cell r="B12" t="str">
            <v>销量完成进度</v>
          </cell>
        </row>
        <row r="14">
          <cell r="B14" t="str">
            <v>实销目标</v>
          </cell>
        </row>
        <row r="14">
          <cell r="O14">
            <v>134432.16899354</v>
          </cell>
        </row>
        <row r="15">
          <cell r="B15" t="str">
            <v>实销完成</v>
          </cell>
        </row>
        <row r="15">
          <cell r="O15">
            <v>45345</v>
          </cell>
        </row>
        <row r="16">
          <cell r="B16" t="str">
            <v>实销完成进度</v>
          </cell>
        </row>
        <row r="18">
          <cell r="B18" t="str">
            <v>GMV目标</v>
          </cell>
        </row>
        <row r="18">
          <cell r="O18">
            <v>1702896506.80041</v>
          </cell>
        </row>
        <row r="19">
          <cell r="B19" t="str">
            <v>GMV完成</v>
          </cell>
        </row>
        <row r="19">
          <cell r="O19">
            <v>739894426</v>
          </cell>
        </row>
        <row r="20">
          <cell r="B20" t="str">
            <v>GMV完成进度</v>
          </cell>
        </row>
        <row r="22">
          <cell r="B22" t="str">
            <v>GSV目标</v>
          </cell>
        </row>
        <row r="22">
          <cell r="O22">
            <v>43834588.5798161</v>
          </cell>
        </row>
        <row r="23">
          <cell r="B23" t="str">
            <v>GSV完成</v>
          </cell>
        </row>
        <row r="23">
          <cell r="O23">
            <v>17853619.6777</v>
          </cell>
        </row>
        <row r="24">
          <cell r="B24" t="str">
            <v>GSV完成进度</v>
          </cell>
        </row>
        <row r="26">
          <cell r="B26" t="str">
            <v>退款率</v>
          </cell>
          <cell r="C26">
            <v>0.687713238790621</v>
          </cell>
          <cell r="D26">
            <v>0.698604727387426</v>
          </cell>
          <cell r="E26">
            <v>0.729012655802096</v>
          </cell>
          <cell r="F26">
            <v>0.70390916276867</v>
          </cell>
          <cell r="G26">
            <v>0.66585209409716</v>
          </cell>
          <cell r="H26">
            <v>0.690224565557606</v>
          </cell>
          <cell r="I26" t="e">
            <v>#DIV/0!</v>
          </cell>
          <cell r="J26" t="e">
            <v>#DIV/0!</v>
          </cell>
          <cell r="K26" t="e">
            <v>#DIV/0!</v>
          </cell>
          <cell r="L26" t="e">
            <v>#DIV/0!</v>
          </cell>
          <cell r="M26" t="e">
            <v>#DIV/0!</v>
          </cell>
          <cell r="N26" t="e">
            <v>#DIV/0!</v>
          </cell>
          <cell r="O26">
            <v>0.698375554499379</v>
          </cell>
        </row>
        <row r="27">
          <cell r="B27" t="str">
            <v>退货率</v>
          </cell>
          <cell r="C27">
            <v>0.699238311660985</v>
          </cell>
          <cell r="D27">
            <v>0.729198050509526</v>
          </cell>
          <cell r="E27">
            <v>0.744339900029403</v>
          </cell>
          <cell r="F27">
            <v>0.733192510300944</v>
          </cell>
          <cell r="G27">
            <v>0.720858403529884</v>
          </cell>
          <cell r="H27">
            <v>0.663351749539595</v>
          </cell>
          <cell r="I27" t="e">
            <v>#DIV/0!</v>
          </cell>
          <cell r="J27" t="e">
            <v>#DIV/0!</v>
          </cell>
          <cell r="K27" t="e">
            <v>#DIV/0!</v>
          </cell>
          <cell r="L27" t="e">
            <v>#DIV/0!</v>
          </cell>
          <cell r="M27" t="e">
            <v>#DIV/0!</v>
          </cell>
          <cell r="N27" t="e">
            <v>#DIV/0!</v>
          </cell>
          <cell r="O27">
            <v>0.724876681410291</v>
          </cell>
        </row>
        <row r="28">
          <cell r="B28" t="str">
            <v>利润率</v>
          </cell>
          <cell r="C28">
            <v>0.138910140417833</v>
          </cell>
          <cell r="D28">
            <v>0.139867781085804</v>
          </cell>
          <cell r="E28">
            <v>0.0628267960090245</v>
          </cell>
          <cell r="F28">
            <v>0.108095037564605</v>
          </cell>
          <cell r="G28">
            <v>0.113259281343119</v>
          </cell>
          <cell r="H28">
            <v>0.13193502359908</v>
          </cell>
          <cell r="I28" t="e">
            <v>#DIV/0!</v>
          </cell>
          <cell r="J28" t="e">
            <v>#DIV/0!</v>
          </cell>
          <cell r="K28" t="e">
            <v>#DIV/0!</v>
          </cell>
          <cell r="L28" t="e">
            <v>#DIV/0!</v>
          </cell>
          <cell r="M28" t="e">
            <v>#DIV/0!</v>
          </cell>
          <cell r="N28" t="e">
            <v>#DIV/0!</v>
          </cell>
          <cell r="O28">
            <v>0.115993966276893</v>
          </cell>
        </row>
        <row r="30">
          <cell r="A30" t="str">
            <v>LXTF1店</v>
          </cell>
          <cell r="B30" t="str">
            <v>实际利润（人民币）</v>
          </cell>
        </row>
        <row r="31">
          <cell r="B31" t="str">
            <v>销量完成</v>
          </cell>
        </row>
        <row r="32">
          <cell r="B32" t="str">
            <v>实销完成</v>
          </cell>
        </row>
        <row r="33">
          <cell r="B33" t="str">
            <v>GMV完成</v>
          </cell>
        </row>
        <row r="34">
          <cell r="B34" t="str">
            <v>GSV完成</v>
          </cell>
        </row>
        <row r="35">
          <cell r="B35" t="str">
            <v>退款率</v>
          </cell>
        </row>
        <row r="36">
          <cell r="B36" t="str">
            <v>退货率</v>
          </cell>
        </row>
        <row r="37">
          <cell r="B37" t="str">
            <v>利润率</v>
          </cell>
        </row>
        <row r="38">
          <cell r="A38" t="str">
            <v>LXTF2店</v>
          </cell>
          <cell r="B38" t="str">
            <v>实际利润（人民币）</v>
          </cell>
        </row>
        <row r="39">
          <cell r="B39" t="str">
            <v>销量完成</v>
          </cell>
        </row>
        <row r="40">
          <cell r="B40" t="str">
            <v>实销完成</v>
          </cell>
        </row>
        <row r="41">
          <cell r="B41" t="str">
            <v>GMV完成</v>
          </cell>
        </row>
        <row r="42">
          <cell r="B42" t="str">
            <v>GSV完成</v>
          </cell>
        </row>
        <row r="43">
          <cell r="B43" t="str">
            <v>退款率</v>
          </cell>
        </row>
        <row r="44">
          <cell r="B44" t="str">
            <v>退货率</v>
          </cell>
        </row>
        <row r="45">
          <cell r="B45" t="str">
            <v>利润率</v>
          </cell>
        </row>
        <row r="46">
          <cell r="A46" t="str">
            <v>LXTF4店</v>
          </cell>
          <cell r="B46" t="str">
            <v>实际利润（人民币）</v>
          </cell>
        </row>
        <row r="47">
          <cell r="B47" t="str">
            <v>销量完成</v>
          </cell>
        </row>
        <row r="48">
          <cell r="B48" t="str">
            <v>实销完成</v>
          </cell>
        </row>
        <row r="49">
          <cell r="B49" t="str">
            <v>GMV完成</v>
          </cell>
        </row>
        <row r="50">
          <cell r="B50" t="str">
            <v>GSV完成</v>
          </cell>
        </row>
        <row r="51">
          <cell r="B51" t="str">
            <v>退款率</v>
          </cell>
        </row>
        <row r="52">
          <cell r="B52" t="str">
            <v>退货率</v>
          </cell>
        </row>
        <row r="53">
          <cell r="B53" t="str">
            <v>利润率</v>
          </cell>
        </row>
        <row r="54">
          <cell r="A54" t="str">
            <v>MYTF1店</v>
          </cell>
          <cell r="B54" t="str">
            <v>实际利润（人民币）</v>
          </cell>
        </row>
        <row r="55">
          <cell r="B55" t="str">
            <v>销量完成</v>
          </cell>
        </row>
        <row r="56">
          <cell r="B56" t="str">
            <v>实销完成</v>
          </cell>
        </row>
        <row r="57">
          <cell r="B57" t="str">
            <v>GMV完成</v>
          </cell>
        </row>
        <row r="58">
          <cell r="B58" t="str">
            <v>GSV完成</v>
          </cell>
        </row>
        <row r="59">
          <cell r="B59" t="str">
            <v>退款率</v>
          </cell>
        </row>
        <row r="60">
          <cell r="B60" t="str">
            <v>退货率</v>
          </cell>
        </row>
        <row r="61">
          <cell r="B61" t="str">
            <v>利润率</v>
          </cell>
        </row>
        <row r="62">
          <cell r="A62" t="str">
            <v>Z-NZTF1店</v>
          </cell>
          <cell r="B62" t="str">
            <v>实际利润（人民币）</v>
          </cell>
        </row>
        <row r="63">
          <cell r="B63" t="str">
            <v>销量完成</v>
          </cell>
        </row>
        <row r="64">
          <cell r="B64" t="str">
            <v>实销完成</v>
          </cell>
        </row>
        <row r="65">
          <cell r="B65" t="str">
            <v>GMV完成</v>
          </cell>
        </row>
        <row r="66">
          <cell r="B66" t="str">
            <v>GSV完成</v>
          </cell>
        </row>
        <row r="67">
          <cell r="B67" t="str">
            <v>退款率</v>
          </cell>
        </row>
        <row r="68">
          <cell r="B68" t="str">
            <v>退货率</v>
          </cell>
        </row>
        <row r="69">
          <cell r="B69" t="str">
            <v>利润率</v>
          </cell>
        </row>
        <row r="70">
          <cell r="A70" t="str">
            <v>新店1</v>
          </cell>
          <cell r="B70" t="str">
            <v>实际利润（人民币）</v>
          </cell>
        </row>
        <row r="71">
          <cell r="B71" t="str">
            <v>销量完成</v>
          </cell>
        </row>
        <row r="72">
          <cell r="B72" t="str">
            <v>实销完成</v>
          </cell>
        </row>
        <row r="73">
          <cell r="B73" t="str">
            <v>GMV完成</v>
          </cell>
        </row>
        <row r="74">
          <cell r="B74" t="str">
            <v>GSV完成</v>
          </cell>
        </row>
        <row r="75">
          <cell r="B75" t="str">
            <v>退款率</v>
          </cell>
        </row>
        <row r="76">
          <cell r="B76" t="str">
            <v>退货率</v>
          </cell>
        </row>
        <row r="77">
          <cell r="B77" t="str">
            <v>利润率</v>
          </cell>
        </row>
        <row r="78">
          <cell r="A78" t="str">
            <v>新店2</v>
          </cell>
          <cell r="B78" t="str">
            <v>实际利润（人民币）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  <row r="79">
          <cell r="B79" t="str">
            <v>销量完成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B80" t="str">
            <v>实销完成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</row>
        <row r="81">
          <cell r="B81" t="str">
            <v>GMV完成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</row>
        <row r="82">
          <cell r="B82" t="str">
            <v>GSV完成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B83" t="str">
            <v>退款率</v>
          </cell>
          <cell r="C83" t="e">
            <v>#DIV/0!</v>
          </cell>
          <cell r="D83" t="e">
            <v>#DIV/0!</v>
          </cell>
          <cell r="E83" t="e">
            <v>#DIV/0!</v>
          </cell>
          <cell r="F83" t="e">
            <v>#DIV/0!</v>
          </cell>
          <cell r="G83" t="e">
            <v>#DIV/0!</v>
          </cell>
          <cell r="H83" t="e">
            <v>#DIV/0!</v>
          </cell>
          <cell r="I83" t="e">
            <v>#DIV/0!</v>
          </cell>
          <cell r="J83" t="e">
            <v>#DIV/0!</v>
          </cell>
          <cell r="K83" t="e">
            <v>#DIV/0!</v>
          </cell>
          <cell r="L83" t="e">
            <v>#DIV/0!</v>
          </cell>
          <cell r="M83" t="e">
            <v>#DIV/0!</v>
          </cell>
          <cell r="N83" t="e">
            <v>#DIV/0!</v>
          </cell>
          <cell r="O83" t="e">
            <v>#DIV/0!</v>
          </cell>
        </row>
        <row r="84">
          <cell r="B84" t="str">
            <v>退货率</v>
          </cell>
          <cell r="C84" t="e">
            <v>#DIV/0!</v>
          </cell>
          <cell r="D84" t="e">
            <v>#DIV/0!</v>
          </cell>
          <cell r="E84" t="e">
            <v>#DIV/0!</v>
          </cell>
          <cell r="F84" t="e">
            <v>#DIV/0!</v>
          </cell>
          <cell r="G84" t="e">
            <v>#DIV/0!</v>
          </cell>
          <cell r="H84" t="e">
            <v>#DIV/0!</v>
          </cell>
          <cell r="I84" t="e">
            <v>#DIV/0!</v>
          </cell>
          <cell r="J84" t="e">
            <v>#DIV/0!</v>
          </cell>
          <cell r="K84" t="e">
            <v>#DIV/0!</v>
          </cell>
          <cell r="L84" t="e">
            <v>#DIV/0!</v>
          </cell>
          <cell r="M84" t="e">
            <v>#DIV/0!</v>
          </cell>
          <cell r="N84" t="e">
            <v>#DIV/0!</v>
          </cell>
          <cell r="O84" t="e">
            <v>#DIV/0!</v>
          </cell>
        </row>
        <row r="85">
          <cell r="B85" t="str">
            <v>利润率</v>
          </cell>
          <cell r="C85" t="e">
            <v>#DIV/0!</v>
          </cell>
          <cell r="D85" t="e">
            <v>#DIV/0!</v>
          </cell>
          <cell r="E85" t="e">
            <v>#DIV/0!</v>
          </cell>
          <cell r="F85" t="e">
            <v>#DIV/0!</v>
          </cell>
          <cell r="G85" t="e">
            <v>#DIV/0!</v>
          </cell>
          <cell r="H85" t="e">
            <v>#DIV/0!</v>
          </cell>
          <cell r="I85" t="e">
            <v>#DIV/0!</v>
          </cell>
          <cell r="J85" t="e">
            <v>#DIV/0!</v>
          </cell>
          <cell r="K85" t="e">
            <v>#DIV/0!</v>
          </cell>
          <cell r="L85" t="e">
            <v>#DIV/0!</v>
          </cell>
          <cell r="M85" t="e">
            <v>#DIV/0!</v>
          </cell>
          <cell r="N85" t="e">
            <v>#DIV/0!</v>
          </cell>
          <cell r="O85" t="e">
            <v>#DIV/0!</v>
          </cell>
        </row>
        <row r="86">
          <cell r="A86" t="str">
            <v>新店3</v>
          </cell>
          <cell r="B86" t="str">
            <v>实际利润（人民币）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B87" t="str">
            <v>销量完成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B88" t="str">
            <v>实销完成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B89" t="str">
            <v>GMV完成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</row>
        <row r="90">
          <cell r="B90" t="str">
            <v>GSV完成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B91" t="str">
            <v>退款率</v>
          </cell>
          <cell r="C91" t="e">
            <v>#DIV/0!</v>
          </cell>
          <cell r="D91" t="e">
            <v>#DIV/0!</v>
          </cell>
          <cell r="E91" t="e">
            <v>#DIV/0!</v>
          </cell>
          <cell r="F91" t="e">
            <v>#DIV/0!</v>
          </cell>
          <cell r="G91" t="e">
            <v>#DIV/0!</v>
          </cell>
          <cell r="H91" t="e">
            <v>#DIV/0!</v>
          </cell>
          <cell r="I91" t="e">
            <v>#DIV/0!</v>
          </cell>
          <cell r="J91" t="e">
            <v>#DIV/0!</v>
          </cell>
          <cell r="K91" t="e">
            <v>#DIV/0!</v>
          </cell>
          <cell r="L91" t="e">
            <v>#DIV/0!</v>
          </cell>
          <cell r="M91" t="e">
            <v>#DIV/0!</v>
          </cell>
          <cell r="N91" t="e">
            <v>#DIV/0!</v>
          </cell>
          <cell r="O91" t="e">
            <v>#DIV/0!</v>
          </cell>
        </row>
        <row r="92">
          <cell r="B92" t="str">
            <v>退货率</v>
          </cell>
          <cell r="C92" t="e">
            <v>#DIV/0!</v>
          </cell>
          <cell r="D92" t="e">
            <v>#DIV/0!</v>
          </cell>
          <cell r="E92" t="e">
            <v>#DIV/0!</v>
          </cell>
          <cell r="F92" t="e">
            <v>#DIV/0!</v>
          </cell>
          <cell r="G92" t="e">
            <v>#DIV/0!</v>
          </cell>
          <cell r="H92" t="e">
            <v>#DIV/0!</v>
          </cell>
          <cell r="I92" t="e">
            <v>#DIV/0!</v>
          </cell>
          <cell r="J92" t="e">
            <v>#DIV/0!</v>
          </cell>
          <cell r="K92" t="e">
            <v>#DIV/0!</v>
          </cell>
          <cell r="L92" t="e">
            <v>#DIV/0!</v>
          </cell>
          <cell r="M92" t="e">
            <v>#DIV/0!</v>
          </cell>
          <cell r="N92" t="e">
            <v>#DIV/0!</v>
          </cell>
          <cell r="O92" t="e">
            <v>#DIV/0!</v>
          </cell>
        </row>
        <row r="93">
          <cell r="B93" t="str">
            <v>利润率</v>
          </cell>
          <cell r="C93" t="e">
            <v>#DIV/0!</v>
          </cell>
          <cell r="D93" t="e">
            <v>#DIV/0!</v>
          </cell>
          <cell r="E93" t="e">
            <v>#DIV/0!</v>
          </cell>
          <cell r="F93" t="e">
            <v>#DIV/0!</v>
          </cell>
          <cell r="G93" t="e">
            <v>#DIV/0!</v>
          </cell>
          <cell r="H93" t="e">
            <v>#DIV/0!</v>
          </cell>
          <cell r="I93" t="e">
            <v>#DIV/0!</v>
          </cell>
          <cell r="J93" t="e">
            <v>#DIV/0!</v>
          </cell>
          <cell r="K93" t="e">
            <v>#DIV/0!</v>
          </cell>
          <cell r="L93" t="e">
            <v>#DIV/0!</v>
          </cell>
          <cell r="M93" t="e">
            <v>#DIV/0!</v>
          </cell>
          <cell r="N93" t="e">
            <v>#DIV/0!</v>
          </cell>
          <cell r="O93" t="e">
            <v>#DIV/0!</v>
          </cell>
        </row>
        <row r="94">
          <cell r="A94" t="str">
            <v>新店4</v>
          </cell>
          <cell r="B94" t="str">
            <v>实际利润（人民币）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</row>
        <row r="95">
          <cell r="B95" t="str">
            <v>销量完成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</row>
        <row r="96">
          <cell r="B96" t="str">
            <v>实销完成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</row>
        <row r="97">
          <cell r="B97" t="str">
            <v>GMV完成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</row>
        <row r="98">
          <cell r="B98" t="str">
            <v>GSV完成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</row>
        <row r="99">
          <cell r="B99" t="str">
            <v>退款率</v>
          </cell>
          <cell r="C99" t="e">
            <v>#DIV/0!</v>
          </cell>
          <cell r="D99" t="e">
            <v>#DIV/0!</v>
          </cell>
          <cell r="E99" t="e">
            <v>#DIV/0!</v>
          </cell>
          <cell r="F99" t="e">
            <v>#DIV/0!</v>
          </cell>
          <cell r="G99" t="e">
            <v>#DIV/0!</v>
          </cell>
          <cell r="H99" t="e">
            <v>#DIV/0!</v>
          </cell>
          <cell r="I99" t="e">
            <v>#DIV/0!</v>
          </cell>
          <cell r="J99" t="e">
            <v>#DIV/0!</v>
          </cell>
          <cell r="K99" t="e">
            <v>#DIV/0!</v>
          </cell>
          <cell r="L99" t="e">
            <v>#DIV/0!</v>
          </cell>
          <cell r="M99" t="e">
            <v>#DIV/0!</v>
          </cell>
          <cell r="N99" t="e">
            <v>#DIV/0!</v>
          </cell>
          <cell r="O99" t="e">
            <v>#DIV/0!</v>
          </cell>
        </row>
        <row r="100">
          <cell r="B100" t="str">
            <v>退货率</v>
          </cell>
          <cell r="C100" t="e">
            <v>#DIV/0!</v>
          </cell>
          <cell r="D100" t="e">
            <v>#DIV/0!</v>
          </cell>
          <cell r="E100" t="e">
            <v>#DIV/0!</v>
          </cell>
          <cell r="F100" t="e">
            <v>#DIV/0!</v>
          </cell>
          <cell r="G100" t="e">
            <v>#DIV/0!</v>
          </cell>
          <cell r="H100" t="e">
            <v>#DIV/0!</v>
          </cell>
          <cell r="I100" t="e">
            <v>#DIV/0!</v>
          </cell>
          <cell r="J100" t="e">
            <v>#DIV/0!</v>
          </cell>
          <cell r="K100" t="e">
            <v>#DIV/0!</v>
          </cell>
          <cell r="L100" t="e">
            <v>#DIV/0!</v>
          </cell>
          <cell r="M100" t="e">
            <v>#DIV/0!</v>
          </cell>
          <cell r="N100" t="e">
            <v>#DIV/0!</v>
          </cell>
          <cell r="O100" t="e">
            <v>#DIV/0!</v>
          </cell>
        </row>
        <row r="101">
          <cell r="B101" t="str">
            <v>利润率</v>
          </cell>
          <cell r="C101" t="e">
            <v>#DIV/0!</v>
          </cell>
          <cell r="D101" t="e">
            <v>#DIV/0!</v>
          </cell>
          <cell r="E101" t="e">
            <v>#DIV/0!</v>
          </cell>
          <cell r="F101" t="e">
            <v>#DIV/0!</v>
          </cell>
          <cell r="G101" t="e">
            <v>#DIV/0!</v>
          </cell>
          <cell r="H101" t="e">
            <v>#DIV/0!</v>
          </cell>
          <cell r="I101" t="e">
            <v>#DIV/0!</v>
          </cell>
          <cell r="J101" t="e">
            <v>#DIV/0!</v>
          </cell>
          <cell r="K101" t="e">
            <v>#DIV/0!</v>
          </cell>
          <cell r="L101" t="e">
            <v>#DIV/0!</v>
          </cell>
          <cell r="M101" t="e">
            <v>#DIV/0!</v>
          </cell>
          <cell r="N101" t="e">
            <v>#DIV/0!</v>
          </cell>
          <cell r="O101" t="e">
            <v>#DIV/0!</v>
          </cell>
        </row>
        <row r="102">
          <cell r="A102" t="str">
            <v>新店5</v>
          </cell>
          <cell r="B102" t="str">
            <v>实际利润（人民币）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B103" t="str">
            <v>销量完成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</row>
        <row r="104">
          <cell r="B104" t="str">
            <v>实销完成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B105" t="str">
            <v>GMV完成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</row>
        <row r="106">
          <cell r="B106" t="str">
            <v>GSV完成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</row>
        <row r="107">
          <cell r="B107" t="str">
            <v>退款率</v>
          </cell>
          <cell r="C107" t="e">
            <v>#DIV/0!</v>
          </cell>
          <cell r="D107" t="e">
            <v>#DIV/0!</v>
          </cell>
          <cell r="E107" t="e">
            <v>#DIV/0!</v>
          </cell>
          <cell r="F107" t="e">
            <v>#DIV/0!</v>
          </cell>
          <cell r="G107" t="e">
            <v>#DIV/0!</v>
          </cell>
          <cell r="H107" t="e">
            <v>#DIV/0!</v>
          </cell>
          <cell r="I107" t="e">
            <v>#DIV/0!</v>
          </cell>
          <cell r="J107" t="e">
            <v>#DIV/0!</v>
          </cell>
          <cell r="K107" t="e">
            <v>#DIV/0!</v>
          </cell>
          <cell r="L107" t="e">
            <v>#DIV/0!</v>
          </cell>
          <cell r="M107" t="e">
            <v>#DIV/0!</v>
          </cell>
          <cell r="N107" t="e">
            <v>#DIV/0!</v>
          </cell>
          <cell r="O107" t="e">
            <v>#DIV/0!</v>
          </cell>
        </row>
        <row r="108">
          <cell r="B108" t="str">
            <v>退货率</v>
          </cell>
          <cell r="C108" t="e">
            <v>#DIV/0!</v>
          </cell>
          <cell r="D108" t="e">
            <v>#DIV/0!</v>
          </cell>
          <cell r="E108" t="e">
            <v>#DIV/0!</v>
          </cell>
          <cell r="F108" t="e">
            <v>#DIV/0!</v>
          </cell>
          <cell r="G108" t="e">
            <v>#DIV/0!</v>
          </cell>
          <cell r="H108" t="e">
            <v>#DIV/0!</v>
          </cell>
          <cell r="I108" t="e">
            <v>#DIV/0!</v>
          </cell>
          <cell r="J108" t="e">
            <v>#DIV/0!</v>
          </cell>
          <cell r="K108" t="e">
            <v>#DIV/0!</v>
          </cell>
          <cell r="L108" t="e">
            <v>#DIV/0!</v>
          </cell>
          <cell r="M108" t="e">
            <v>#DIV/0!</v>
          </cell>
          <cell r="N108" t="e">
            <v>#DIV/0!</v>
          </cell>
          <cell r="O108" t="e">
            <v>#DIV/0!</v>
          </cell>
        </row>
        <row r="109">
          <cell r="B109" t="str">
            <v>利润率</v>
          </cell>
          <cell r="C109" t="e">
            <v>#DIV/0!</v>
          </cell>
          <cell r="D109" t="e">
            <v>#DIV/0!</v>
          </cell>
          <cell r="E109" t="e">
            <v>#DIV/0!</v>
          </cell>
          <cell r="F109" t="e">
            <v>#DIV/0!</v>
          </cell>
          <cell r="G109" t="e">
            <v>#DIV/0!</v>
          </cell>
          <cell r="H109" t="e">
            <v>#DIV/0!</v>
          </cell>
          <cell r="I109" t="e">
            <v>#DIV/0!</v>
          </cell>
          <cell r="J109" t="e">
            <v>#DIV/0!</v>
          </cell>
          <cell r="K109" t="e">
            <v>#DIV/0!</v>
          </cell>
          <cell r="L109" t="e">
            <v>#DIV/0!</v>
          </cell>
          <cell r="M109" t="e">
            <v>#DIV/0!</v>
          </cell>
          <cell r="N109" t="e">
            <v>#DIV/0!</v>
          </cell>
          <cell r="O109" t="e">
            <v>#DIV/0!</v>
          </cell>
        </row>
        <row r="110">
          <cell r="A110" t="str">
            <v>新店6</v>
          </cell>
          <cell r="B110" t="str">
            <v>实际利润（人民币）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</row>
        <row r="111">
          <cell r="B111" t="str">
            <v>销量完成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2">
          <cell r="B112" t="str">
            <v>实销完成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</row>
        <row r="113">
          <cell r="B113" t="str">
            <v>GMV完成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</row>
        <row r="114">
          <cell r="B114" t="str">
            <v>GSV完成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</row>
        <row r="115">
          <cell r="B115" t="str">
            <v>退款率</v>
          </cell>
          <cell r="C115" t="e">
            <v>#DIV/0!</v>
          </cell>
          <cell r="D115" t="e">
            <v>#DIV/0!</v>
          </cell>
          <cell r="E115" t="e">
            <v>#DIV/0!</v>
          </cell>
          <cell r="F115" t="e">
            <v>#DIV/0!</v>
          </cell>
          <cell r="G115" t="e">
            <v>#DIV/0!</v>
          </cell>
          <cell r="H115" t="e">
            <v>#DIV/0!</v>
          </cell>
          <cell r="I115" t="e">
            <v>#DIV/0!</v>
          </cell>
          <cell r="J115" t="e">
            <v>#DIV/0!</v>
          </cell>
          <cell r="K115" t="e">
            <v>#DIV/0!</v>
          </cell>
          <cell r="L115" t="e">
            <v>#DIV/0!</v>
          </cell>
          <cell r="M115" t="e">
            <v>#DIV/0!</v>
          </cell>
          <cell r="N115" t="e">
            <v>#DIV/0!</v>
          </cell>
          <cell r="O115" t="e">
            <v>#DIV/0!</v>
          </cell>
        </row>
        <row r="116">
          <cell r="B116" t="str">
            <v>退货率</v>
          </cell>
          <cell r="C116" t="e">
            <v>#DIV/0!</v>
          </cell>
          <cell r="D116" t="e">
            <v>#DIV/0!</v>
          </cell>
          <cell r="E116" t="e">
            <v>#DIV/0!</v>
          </cell>
          <cell r="F116" t="e">
            <v>#DIV/0!</v>
          </cell>
          <cell r="G116" t="e">
            <v>#DIV/0!</v>
          </cell>
          <cell r="H116" t="e">
            <v>#DIV/0!</v>
          </cell>
          <cell r="I116" t="e">
            <v>#DIV/0!</v>
          </cell>
          <cell r="J116" t="e">
            <v>#DIV/0!</v>
          </cell>
          <cell r="K116" t="e">
            <v>#DIV/0!</v>
          </cell>
          <cell r="L116" t="e">
            <v>#DIV/0!</v>
          </cell>
          <cell r="M116" t="e">
            <v>#DIV/0!</v>
          </cell>
          <cell r="N116" t="e">
            <v>#DIV/0!</v>
          </cell>
          <cell r="O116" t="e">
            <v>#DIV/0!</v>
          </cell>
        </row>
        <row r="117">
          <cell r="B117" t="str">
            <v>利润率</v>
          </cell>
          <cell r="C117" t="e">
            <v>#DIV/0!</v>
          </cell>
          <cell r="D117" t="e">
            <v>#DIV/0!</v>
          </cell>
          <cell r="E117" t="e">
            <v>#DIV/0!</v>
          </cell>
          <cell r="F117" t="e">
            <v>#DIV/0!</v>
          </cell>
          <cell r="G117" t="e">
            <v>#DIV/0!</v>
          </cell>
          <cell r="H117" t="e">
            <v>#DIV/0!</v>
          </cell>
          <cell r="I117" t="e">
            <v>#DIV/0!</v>
          </cell>
          <cell r="J117" t="e">
            <v>#DIV/0!</v>
          </cell>
          <cell r="K117" t="e">
            <v>#DIV/0!</v>
          </cell>
          <cell r="L117" t="e">
            <v>#DIV/0!</v>
          </cell>
          <cell r="M117" t="e">
            <v>#DIV/0!</v>
          </cell>
          <cell r="N117" t="e">
            <v>#DIV/0!</v>
          </cell>
          <cell r="O117" t="e">
            <v>#DIV/0!</v>
          </cell>
        </row>
        <row r="118">
          <cell r="A118" t="str">
            <v>新店7</v>
          </cell>
          <cell r="B118" t="str">
            <v>实际利润（人民币）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</row>
        <row r="119">
          <cell r="B119" t="str">
            <v>销量完成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</row>
        <row r="120">
          <cell r="B120" t="str">
            <v>实销完成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</row>
        <row r="121">
          <cell r="B121" t="str">
            <v>GMV完成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</row>
        <row r="122">
          <cell r="B122" t="str">
            <v>GSV完成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</row>
        <row r="123">
          <cell r="B123" t="str">
            <v>退款率</v>
          </cell>
          <cell r="C123" t="e">
            <v>#DIV/0!</v>
          </cell>
          <cell r="D123" t="e">
            <v>#DIV/0!</v>
          </cell>
          <cell r="E123" t="e">
            <v>#DIV/0!</v>
          </cell>
          <cell r="F123" t="e">
            <v>#DIV/0!</v>
          </cell>
          <cell r="G123" t="e">
            <v>#DIV/0!</v>
          </cell>
          <cell r="H123" t="e">
            <v>#DIV/0!</v>
          </cell>
          <cell r="I123" t="e">
            <v>#DIV/0!</v>
          </cell>
          <cell r="J123" t="e">
            <v>#DIV/0!</v>
          </cell>
          <cell r="K123" t="e">
            <v>#DIV/0!</v>
          </cell>
          <cell r="L123" t="e">
            <v>#DIV/0!</v>
          </cell>
          <cell r="M123" t="e">
            <v>#DIV/0!</v>
          </cell>
          <cell r="N123" t="e">
            <v>#DIV/0!</v>
          </cell>
          <cell r="O123" t="e">
            <v>#DIV/0!</v>
          </cell>
        </row>
        <row r="124">
          <cell r="B124" t="str">
            <v>退货率</v>
          </cell>
          <cell r="C124" t="e">
            <v>#DIV/0!</v>
          </cell>
          <cell r="D124" t="e">
            <v>#DIV/0!</v>
          </cell>
          <cell r="E124" t="e">
            <v>#DIV/0!</v>
          </cell>
          <cell r="F124" t="e">
            <v>#DIV/0!</v>
          </cell>
          <cell r="G124" t="e">
            <v>#DIV/0!</v>
          </cell>
          <cell r="H124" t="e">
            <v>#DIV/0!</v>
          </cell>
          <cell r="I124" t="e">
            <v>#DIV/0!</v>
          </cell>
          <cell r="J124" t="e">
            <v>#DIV/0!</v>
          </cell>
          <cell r="K124" t="e">
            <v>#DIV/0!</v>
          </cell>
          <cell r="L124" t="e">
            <v>#DIV/0!</v>
          </cell>
          <cell r="M124" t="e">
            <v>#DIV/0!</v>
          </cell>
          <cell r="N124" t="e">
            <v>#DIV/0!</v>
          </cell>
          <cell r="O124" t="e">
            <v>#DIV/0!</v>
          </cell>
        </row>
        <row r="125">
          <cell r="B125" t="str">
            <v>利润率</v>
          </cell>
          <cell r="C125" t="e">
            <v>#DIV/0!</v>
          </cell>
          <cell r="D125" t="e">
            <v>#DIV/0!</v>
          </cell>
          <cell r="E125" t="e">
            <v>#DIV/0!</v>
          </cell>
          <cell r="F125" t="e">
            <v>#DIV/0!</v>
          </cell>
          <cell r="G125" t="e">
            <v>#DIV/0!</v>
          </cell>
          <cell r="H125" t="e">
            <v>#DIV/0!</v>
          </cell>
          <cell r="I125" t="e">
            <v>#DIV/0!</v>
          </cell>
          <cell r="J125" t="e">
            <v>#DIV/0!</v>
          </cell>
          <cell r="K125" t="e">
            <v>#DIV/0!</v>
          </cell>
          <cell r="L125" t="e">
            <v>#DIV/0!</v>
          </cell>
          <cell r="M125" t="e">
            <v>#DIV/0!</v>
          </cell>
          <cell r="N125" t="e">
            <v>#DIV/0!</v>
          </cell>
          <cell r="O125" t="e">
            <v>#DIV/0!</v>
          </cell>
        </row>
        <row r="126">
          <cell r="A126" t="str">
            <v>核心三款</v>
          </cell>
          <cell r="B126" t="str">
            <v>实际利润（人民币）</v>
          </cell>
          <cell r="C126">
            <v>72321.76</v>
          </cell>
          <cell r="D126">
            <v>95377.43</v>
          </cell>
          <cell r="E126">
            <v>61256.54</v>
          </cell>
          <cell r="F126">
            <v>56073.62</v>
          </cell>
          <cell r="G126">
            <v>50110.01743891</v>
          </cell>
          <cell r="H126">
            <v>15596.4077267664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350735.775165676</v>
          </cell>
        </row>
        <row r="127">
          <cell r="B127" t="str">
            <v>销量完成</v>
          </cell>
          <cell r="C127">
            <v>2973</v>
          </cell>
          <cell r="D127">
            <v>4432</v>
          </cell>
          <cell r="E127">
            <v>2846</v>
          </cell>
          <cell r="F127">
            <v>3125</v>
          </cell>
          <cell r="G127">
            <v>1662</v>
          </cell>
          <cell r="H127">
            <v>490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15528</v>
          </cell>
        </row>
        <row r="128">
          <cell r="B128" t="str">
            <v>实销完成</v>
          </cell>
          <cell r="C128">
            <v>1142</v>
          </cell>
          <cell r="D128">
            <v>1591</v>
          </cell>
          <cell r="E128">
            <v>1078</v>
          </cell>
          <cell r="F128">
            <v>1163</v>
          </cell>
          <cell r="G128">
            <v>687</v>
          </cell>
          <cell r="H128">
            <v>211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5872</v>
          </cell>
        </row>
        <row r="129">
          <cell r="B129" t="str">
            <v>GMV完成</v>
          </cell>
          <cell r="C129">
            <v>12655308</v>
          </cell>
          <cell r="D129">
            <v>16371284</v>
          </cell>
          <cell r="E129">
            <v>12300849</v>
          </cell>
          <cell r="F129">
            <v>12576283</v>
          </cell>
          <cell r="G129">
            <v>6966652</v>
          </cell>
          <cell r="H129">
            <v>2557201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63427577</v>
          </cell>
        </row>
        <row r="130">
          <cell r="B130" t="str">
            <v>GSV完成</v>
          </cell>
          <cell r="C130">
            <v>407564.12</v>
          </cell>
          <cell r="D130">
            <v>570457.88</v>
          </cell>
          <cell r="E130">
            <v>395142.3</v>
          </cell>
          <cell r="F130">
            <v>435667.29</v>
          </cell>
          <cell r="G130">
            <v>271213.2648</v>
          </cell>
          <cell r="H130">
            <v>77898.3585000001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2157943.2133</v>
          </cell>
        </row>
        <row r="131">
          <cell r="B131" t="str">
            <v>退款率</v>
          </cell>
          <cell r="C131">
            <v>0.402562426769858</v>
          </cell>
          <cell r="D131">
            <v>0.435562873382442</v>
          </cell>
          <cell r="E131">
            <v>0.401539662018451</v>
          </cell>
          <cell r="F131">
            <v>0.433024696168176</v>
          </cell>
          <cell r="G131">
            <v>0.486627695771225</v>
          </cell>
          <cell r="H131">
            <v>0.380779407348113</v>
          </cell>
          <cell r="I131" t="e">
            <v>#DIV/0!</v>
          </cell>
          <cell r="J131" t="e">
            <v>#DIV/0!</v>
          </cell>
          <cell r="K131" t="e">
            <v>#DIV/0!</v>
          </cell>
          <cell r="L131" t="e">
            <v>#DIV/0!</v>
          </cell>
          <cell r="M131" t="e">
            <v>#DIV/0!</v>
          </cell>
          <cell r="N131" t="e">
            <v>#DIV/0!</v>
          </cell>
          <cell r="O131">
            <v>0.0340221606336941</v>
          </cell>
        </row>
        <row r="132">
          <cell r="B132" t="str">
            <v>退货率</v>
          </cell>
          <cell r="C132">
            <v>0.615876219307097</v>
          </cell>
          <cell r="D132">
            <v>0.641019855595668</v>
          </cell>
          <cell r="E132">
            <v>0.621222768798313</v>
          </cell>
          <cell r="F132">
            <v>0.62784</v>
          </cell>
          <cell r="G132">
            <v>0.586642599277978</v>
          </cell>
          <cell r="H132">
            <v>0.569387755102041</v>
          </cell>
          <cell r="I132" t="e">
            <v>#DIV/0!</v>
          </cell>
          <cell r="J132" t="e">
            <v>#DIV/0!</v>
          </cell>
          <cell r="K132" t="e">
            <v>#DIV/0!</v>
          </cell>
          <cell r="L132" t="e">
            <v>#DIV/0!</v>
          </cell>
          <cell r="M132" t="e">
            <v>#DIV/0!</v>
          </cell>
          <cell r="N132" t="e">
            <v>#DIV/0!</v>
          </cell>
          <cell r="O132">
            <v>0.621844410097888</v>
          </cell>
        </row>
        <row r="133">
          <cell r="B133" t="str">
            <v>利润率</v>
          </cell>
          <cell r="C133">
            <v>0.177448790143745</v>
          </cell>
          <cell r="D133">
            <v>0.16719451749882</v>
          </cell>
          <cell r="E133">
            <v>0.155024000214606</v>
          </cell>
          <cell r="F133">
            <v>0.128707436355849</v>
          </cell>
          <cell r="G133">
            <v>0.184762413725827</v>
          </cell>
          <cell r="H133">
            <v>0.200214844408645</v>
          </cell>
          <cell r="I133" t="e">
            <v>#DIV/0!</v>
          </cell>
          <cell r="J133" t="e">
            <v>#DIV/0!</v>
          </cell>
          <cell r="K133" t="e">
            <v>#DIV/0!</v>
          </cell>
          <cell r="L133" t="e">
            <v>#DIV/0!</v>
          </cell>
          <cell r="M133" t="e">
            <v>#DIV/0!</v>
          </cell>
          <cell r="N133" t="e">
            <v>#DIV/0!</v>
          </cell>
          <cell r="O133">
            <v>0.162532439687938</v>
          </cell>
        </row>
      </sheetData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周度汇总分析报告"/>
      <sheetName val="2026年度男装数据汇总分析--俄罗斯"/>
      <sheetName val="2026年月度数据汇总--俄罗斯"/>
      <sheetName val="2026年数据登记--俄罗斯"/>
      <sheetName val="2026目标拆解--俄罗斯"/>
      <sheetName val="2026目标拆解--俄罗斯 --实时调整"/>
      <sheetName val="2026年度总数据汇总--俄罗斯"/>
      <sheetName val="2026目标拆解--俄罗斯-1"/>
      <sheetName val="2025年度数据"/>
      <sheetName val="2025年数据源"/>
    </sheetNames>
    <sheetDataSet>
      <sheetData sheetId="0"/>
      <sheetData sheetId="1">
        <row r="1">
          <cell r="A1" t="str">
            <v>2026年度WB男装进度</v>
          </cell>
        </row>
        <row r="2">
          <cell r="A2" t="str">
            <v>项目</v>
          </cell>
          <cell r="B2" t="str">
            <v>月度</v>
          </cell>
          <cell r="C2" t="str">
            <v>2月</v>
          </cell>
          <cell r="D2" t="str">
            <v>3月</v>
          </cell>
          <cell r="E2" t="str">
            <v>4月</v>
          </cell>
          <cell r="F2" t="str">
            <v>5月</v>
          </cell>
          <cell r="G2" t="str">
            <v>6月</v>
          </cell>
          <cell r="H2" t="str">
            <v>7月</v>
          </cell>
          <cell r="I2" t="str">
            <v>8月</v>
          </cell>
          <cell r="J2" t="str">
            <v>9月</v>
          </cell>
          <cell r="K2" t="str">
            <v>10月</v>
          </cell>
          <cell r="L2" t="str">
            <v>11月</v>
          </cell>
          <cell r="M2" t="str">
            <v>12月</v>
          </cell>
          <cell r="N2" t="str">
            <v>1月</v>
          </cell>
          <cell r="O2" t="str">
            <v>汇总</v>
          </cell>
        </row>
        <row r="3">
          <cell r="B3" t="str">
            <v>季度</v>
          </cell>
          <cell r="C3" t="str">
            <v>Q1</v>
          </cell>
        </row>
        <row r="3">
          <cell r="F3" t="str">
            <v>Q2</v>
          </cell>
        </row>
        <row r="3">
          <cell r="I3" t="str">
            <v>Q3</v>
          </cell>
        </row>
        <row r="3">
          <cell r="L3" t="str">
            <v>Q4</v>
          </cell>
        </row>
        <row r="4">
          <cell r="B4" t="str">
            <v>季度财报</v>
          </cell>
        </row>
        <row r="5">
          <cell r="B5" t="str">
            <v>季度财报进度</v>
          </cell>
        </row>
        <row r="6">
          <cell r="A6" t="str">
            <v>目标完成情况</v>
          </cell>
          <cell r="B6" t="str">
            <v>月度目标
利润（人民币）</v>
          </cell>
          <cell r="C6">
            <v>445623.087260062</v>
          </cell>
          <cell r="D6">
            <v>485784.484418571</v>
          </cell>
          <cell r="E6">
            <v>449911.442788257</v>
          </cell>
          <cell r="F6">
            <v>464012.748298979</v>
          </cell>
          <cell r="G6">
            <v>543194.4</v>
          </cell>
          <cell r="H6">
            <v>606700.0576</v>
          </cell>
          <cell r="I6">
            <v>811749.7808</v>
          </cell>
          <cell r="J6">
            <v>972333.6</v>
          </cell>
          <cell r="K6">
            <v>1119372.8</v>
          </cell>
          <cell r="L6">
            <v>1129094.4</v>
          </cell>
          <cell r="M6">
            <v>1025732.96</v>
          </cell>
          <cell r="N6">
            <v>701760.64</v>
          </cell>
          <cell r="O6">
            <v>8755270.40116587</v>
          </cell>
        </row>
        <row r="7">
          <cell r="B7" t="str">
            <v>实际利润（人民币）</v>
          </cell>
          <cell r="C7">
            <v>573037.44</v>
          </cell>
          <cell r="D7">
            <v>647037.05</v>
          </cell>
          <cell r="E7">
            <v>591983.98</v>
          </cell>
          <cell r="F7">
            <v>706739.4</v>
          </cell>
          <cell r="G7">
            <v>593421.46</v>
          </cell>
          <cell r="H7">
            <v>160770.45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3272989.78</v>
          </cell>
        </row>
        <row r="8">
          <cell r="B8" t="str">
            <v>目标完成进度</v>
          </cell>
          <cell r="C8">
            <v>1.28592403845894</v>
          </cell>
          <cell r="D8">
            <v>1.33194260161362</v>
          </cell>
          <cell r="E8">
            <v>1.3157788926889</v>
          </cell>
          <cell r="F8">
            <v>1.52310341168606</v>
          </cell>
          <cell r="G8">
            <v>1.09246608580648</v>
          </cell>
          <cell r="H8">
            <v>0.264991651123259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0.373830804764655</v>
          </cell>
        </row>
        <row r="10">
          <cell r="B10" t="str">
            <v>销量目标</v>
          </cell>
          <cell r="C10">
            <v>29092</v>
          </cell>
          <cell r="D10">
            <v>31620</v>
          </cell>
          <cell r="E10">
            <v>29700</v>
          </cell>
          <cell r="F10">
            <v>31930</v>
          </cell>
          <cell r="G10">
            <v>36000</v>
          </cell>
          <cell r="H10">
            <v>40207</v>
          </cell>
          <cell r="I10">
            <v>53723</v>
          </cell>
          <cell r="J10">
            <v>64500</v>
          </cell>
          <cell r="K10">
            <v>74400</v>
          </cell>
          <cell r="L10">
            <v>75000</v>
          </cell>
          <cell r="M10">
            <v>68200</v>
          </cell>
          <cell r="N10">
            <v>46500</v>
          </cell>
          <cell r="O10">
            <v>580872</v>
          </cell>
        </row>
        <row r="11">
          <cell r="B11" t="str">
            <v>销量完成</v>
          </cell>
          <cell r="C11">
            <v>29860</v>
          </cell>
          <cell r="D11">
            <v>32519</v>
          </cell>
          <cell r="E11">
            <v>32812</v>
          </cell>
          <cell r="F11">
            <v>33812</v>
          </cell>
          <cell r="G11">
            <v>26753</v>
          </cell>
          <cell r="H11">
            <v>7111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162867</v>
          </cell>
        </row>
        <row r="12">
          <cell r="B12" t="str">
            <v>销量完成进度</v>
          </cell>
          <cell r="C12">
            <v>1.02639901003712</v>
          </cell>
          <cell r="D12">
            <v>1.02843137254902</v>
          </cell>
          <cell r="E12">
            <v>1.10478114478114</v>
          </cell>
          <cell r="F12">
            <v>1.05894143438772</v>
          </cell>
          <cell r="G12">
            <v>0.743138888888889</v>
          </cell>
          <cell r="H12">
            <v>0.176859750789663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0.280383630128496</v>
          </cell>
        </row>
        <row r="14">
          <cell r="B14" t="str">
            <v>实销目标</v>
          </cell>
          <cell r="C14">
            <v>9018.52</v>
          </cell>
          <cell r="D14">
            <v>9802.2</v>
          </cell>
          <cell r="E14">
            <v>9207</v>
          </cell>
          <cell r="F14">
            <v>9898.3</v>
          </cell>
          <cell r="G14">
            <v>11160</v>
          </cell>
          <cell r="H14">
            <v>12464.17</v>
          </cell>
          <cell r="I14">
            <v>16654.13</v>
          </cell>
          <cell r="J14">
            <v>19995</v>
          </cell>
          <cell r="K14">
            <v>23064</v>
          </cell>
          <cell r="L14">
            <v>23250</v>
          </cell>
          <cell r="M14">
            <v>21142</v>
          </cell>
          <cell r="N14">
            <v>14415</v>
          </cell>
          <cell r="O14">
            <v>180070.32</v>
          </cell>
        </row>
        <row r="15">
          <cell r="B15" t="str">
            <v>实销完成</v>
          </cell>
          <cell r="C15">
            <v>10171</v>
          </cell>
          <cell r="D15">
            <v>11583</v>
          </cell>
          <cell r="E15">
            <v>12133</v>
          </cell>
          <cell r="F15">
            <v>12177</v>
          </cell>
          <cell r="G15">
            <v>9282</v>
          </cell>
          <cell r="H15">
            <v>2512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57858</v>
          </cell>
        </row>
        <row r="16">
          <cell r="B16" t="str">
            <v>实销完成进度</v>
          </cell>
          <cell r="C16">
            <v>1.12779036915148</v>
          </cell>
          <cell r="D16">
            <v>1.18167350186693</v>
          </cell>
          <cell r="E16">
            <v>1.31780167264038</v>
          </cell>
          <cell r="F16">
            <v>1.23021124839619</v>
          </cell>
          <cell r="G16">
            <v>0.831720430107527</v>
          </cell>
          <cell r="H16">
            <v>0.201537687627816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0.321307809082585</v>
          </cell>
        </row>
        <row r="18">
          <cell r="B18" t="str">
            <v>GMV目标</v>
          </cell>
          <cell r="C18">
            <v>10045504</v>
          </cell>
          <cell r="D18">
            <v>10983920</v>
          </cell>
          <cell r="E18">
            <v>10324800</v>
          </cell>
          <cell r="F18">
            <v>11127760</v>
          </cell>
          <cell r="G18">
            <v>12516000</v>
          </cell>
          <cell r="H18">
            <v>13979264</v>
          </cell>
          <cell r="I18">
            <v>18703912</v>
          </cell>
          <cell r="J18">
            <v>22404000</v>
          </cell>
          <cell r="K18">
            <v>25792000</v>
          </cell>
          <cell r="L18">
            <v>26016000</v>
          </cell>
          <cell r="M18">
            <v>23634400</v>
          </cell>
          <cell r="N18">
            <v>16169600</v>
          </cell>
          <cell r="O18">
            <v>201697160</v>
          </cell>
        </row>
        <row r="19">
          <cell r="B19" t="str">
            <v>GMV完成</v>
          </cell>
          <cell r="C19">
            <v>10528129.953</v>
          </cell>
          <cell r="D19">
            <v>12913983.5844</v>
          </cell>
          <cell r="E19">
            <v>12268567.6984</v>
          </cell>
          <cell r="F19">
            <v>13661971.3112</v>
          </cell>
          <cell r="G19">
            <v>11545368.1632</v>
          </cell>
          <cell r="H19">
            <v>2959137.918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63877158.6282</v>
          </cell>
        </row>
        <row r="20">
          <cell r="B20" t="str">
            <v>GMV完成进度</v>
          </cell>
          <cell r="C20">
            <v>1.04804397599165</v>
          </cell>
          <cell r="D20">
            <v>1.17571719244131</v>
          </cell>
          <cell r="E20">
            <v>1.18826201944832</v>
          </cell>
          <cell r="F20">
            <v>1.22773777572485</v>
          </cell>
          <cell r="G20">
            <v>0.922448718696069</v>
          </cell>
          <cell r="H20">
            <v>0.211680523237847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0.316698354246535</v>
          </cell>
        </row>
        <row r="22">
          <cell r="B22" t="str">
            <v>GSV目标</v>
          </cell>
          <cell r="C22">
            <v>3214561.28</v>
          </cell>
          <cell r="D22">
            <v>3514854.4</v>
          </cell>
          <cell r="E22">
            <v>3303936</v>
          </cell>
          <cell r="F22">
            <v>3560883.2</v>
          </cell>
          <cell r="G22">
            <v>4005120</v>
          </cell>
          <cell r="H22">
            <v>4473364.48</v>
          </cell>
          <cell r="I22">
            <v>5985251.84</v>
          </cell>
          <cell r="J22">
            <v>7169280</v>
          </cell>
          <cell r="K22">
            <v>8253440</v>
          </cell>
          <cell r="L22">
            <v>8325120</v>
          </cell>
          <cell r="M22">
            <v>7563008</v>
          </cell>
          <cell r="N22">
            <v>5174272</v>
          </cell>
          <cell r="O22">
            <v>64543091.2</v>
          </cell>
        </row>
        <row r="23">
          <cell r="B23" t="str">
            <v>GSV完成</v>
          </cell>
          <cell r="C23">
            <v>3945601.24</v>
          </cell>
          <cell r="D23">
            <v>4001011.09</v>
          </cell>
          <cell r="E23">
            <v>4113119.79</v>
          </cell>
          <cell r="F23">
            <v>4382797.99</v>
          </cell>
          <cell r="G23">
            <v>3503371.5464</v>
          </cell>
          <cell r="H23">
            <v>889801.365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20835703.0214</v>
          </cell>
        </row>
        <row r="24">
          <cell r="B24" t="str">
            <v>GSV完成进度</v>
          </cell>
          <cell r="C24">
            <v>1.22741515756701</v>
          </cell>
          <cell r="D24">
            <v>1.13831488723971</v>
          </cell>
          <cell r="E24">
            <v>1.24491509218096</v>
          </cell>
          <cell r="F24">
            <v>1.23081767747956</v>
          </cell>
          <cell r="G24">
            <v>0.874723240851709</v>
          </cell>
          <cell r="H24">
            <v>0.198910991710651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0.32281848659582</v>
          </cell>
        </row>
        <row r="26">
          <cell r="B26" t="str">
            <v>退款率</v>
          </cell>
          <cell r="C26">
            <v>0.374767528289836</v>
          </cell>
          <cell r="D26">
            <v>0.309820053885866</v>
          </cell>
          <cell r="E26">
            <v>0.335256721983644</v>
          </cell>
          <cell r="F26">
            <v>0.320802751679548</v>
          </cell>
          <cell r="G26">
            <v>0.30344390034843</v>
          </cell>
          <cell r="H26">
            <v>0.300696145180483</v>
          </cell>
          <cell r="I26" t="e">
            <v>#DIV/0!</v>
          </cell>
          <cell r="J26" t="e">
            <v>#DIV/0!</v>
          </cell>
          <cell r="K26" t="e">
            <v>#DIV/0!</v>
          </cell>
          <cell r="L26" t="e">
            <v>#DIV/0!</v>
          </cell>
          <cell r="M26" t="e">
            <v>#DIV/0!</v>
          </cell>
          <cell r="N26" t="e">
            <v>#DIV/0!</v>
          </cell>
          <cell r="O26">
            <v>0.32618393599307</v>
          </cell>
        </row>
        <row r="27">
          <cell r="B27" t="str">
            <v>退货率</v>
          </cell>
          <cell r="C27">
            <v>0.659377093101139</v>
          </cell>
          <cell r="D27">
            <v>0.643808235185584</v>
          </cell>
          <cell r="E27">
            <v>0.630226746312325</v>
          </cell>
          <cell r="F27">
            <v>0.639861587602035</v>
          </cell>
          <cell r="G27">
            <v>0.653048256270325</v>
          </cell>
          <cell r="H27">
            <v>0.646744480382506</v>
          </cell>
          <cell r="I27" t="e">
            <v>#DIV/0!</v>
          </cell>
          <cell r="J27" t="e">
            <v>#DIV/0!</v>
          </cell>
          <cell r="K27" t="e">
            <v>#DIV/0!</v>
          </cell>
          <cell r="L27" t="e">
            <v>#DIV/0!</v>
          </cell>
          <cell r="M27" t="e">
            <v>#DIV/0!</v>
          </cell>
          <cell r="N27" t="e">
            <v>#DIV/0!</v>
          </cell>
          <cell r="O27">
            <v>0.644753080734587</v>
          </cell>
        </row>
        <row r="28">
          <cell r="B28" t="str">
            <v>利润率</v>
          </cell>
          <cell r="C28">
            <v>0.145234504234898</v>
          </cell>
          <cell r="D28">
            <v>0.161718384539644</v>
          </cell>
          <cell r="E28">
            <v>0.143925781456513</v>
          </cell>
          <cell r="F28">
            <v>0.161253017276299</v>
          </cell>
          <cell r="G28">
            <v>0.16938581938584</v>
          </cell>
          <cell r="H28">
            <v>0.180681280478818</v>
          </cell>
          <cell r="I28" t="e">
            <v>#DIV/0!</v>
          </cell>
          <cell r="J28" t="e">
            <v>#DIV/0!</v>
          </cell>
          <cell r="K28" t="e">
            <v>#DIV/0!</v>
          </cell>
          <cell r="L28" t="e">
            <v>#DIV/0!</v>
          </cell>
          <cell r="M28" t="e">
            <v>#DIV/0!</v>
          </cell>
          <cell r="N28" t="e">
            <v>#DIV/0!</v>
          </cell>
          <cell r="O28">
            <v>0.157085641729409</v>
          </cell>
        </row>
        <row r="30">
          <cell r="A30" t="str">
            <v>MYTF1店</v>
          </cell>
          <cell r="B30" t="str">
            <v>实际利润（人民币）</v>
          </cell>
          <cell r="C30">
            <v>390688.84</v>
          </cell>
          <cell r="D30">
            <v>444406.63</v>
          </cell>
          <cell r="E30">
            <v>359029.21</v>
          </cell>
          <cell r="F30">
            <v>364348.74</v>
          </cell>
          <cell r="G30">
            <v>213687.24</v>
          </cell>
          <cell r="H30">
            <v>52764.41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1824925.07</v>
          </cell>
        </row>
        <row r="31">
          <cell r="B31" t="str">
            <v>销量完成</v>
          </cell>
          <cell r="C31">
            <v>14746</v>
          </cell>
          <cell r="D31">
            <v>17117</v>
          </cell>
          <cell r="E31">
            <v>16800</v>
          </cell>
          <cell r="F31">
            <v>17188</v>
          </cell>
          <cell r="G31">
            <v>10453</v>
          </cell>
          <cell r="H31">
            <v>2716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79020</v>
          </cell>
        </row>
        <row r="32">
          <cell r="B32" t="str">
            <v>实销完成</v>
          </cell>
          <cell r="C32">
            <v>5079</v>
          </cell>
          <cell r="D32">
            <v>6543</v>
          </cell>
          <cell r="E32">
            <v>6518</v>
          </cell>
          <cell r="F32">
            <v>6412</v>
          </cell>
          <cell r="G32">
            <v>3602</v>
          </cell>
          <cell r="H32">
            <v>915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29069</v>
          </cell>
        </row>
        <row r="33">
          <cell r="B33" t="str">
            <v>GMV完成</v>
          </cell>
          <cell r="C33">
            <v>5667565.2858</v>
          </cell>
          <cell r="D33">
            <v>7760834.8667</v>
          </cell>
          <cell r="E33">
            <v>6430144.456</v>
          </cell>
          <cell r="F33">
            <v>7017450.9096</v>
          </cell>
          <cell r="G33">
            <v>4439731.0488</v>
          </cell>
          <cell r="H33">
            <v>1166305.44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32482032.0069</v>
          </cell>
        </row>
        <row r="34">
          <cell r="B34" t="str">
            <v>GSV完成</v>
          </cell>
          <cell r="C34">
            <v>1999604.73</v>
          </cell>
          <cell r="D34">
            <v>2367138.83</v>
          </cell>
          <cell r="E34">
            <v>2265862.28</v>
          </cell>
          <cell r="F34">
            <v>2348681.79</v>
          </cell>
          <cell r="G34">
            <v>1407371.462</v>
          </cell>
          <cell r="H34">
            <v>336024.4174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10724683.5094</v>
          </cell>
        </row>
        <row r="35">
          <cell r="B35" t="str">
            <v>退款率</v>
          </cell>
          <cell r="C35">
            <v>0.352815473517346</v>
          </cell>
          <cell r="D35">
            <v>0.305010848788558</v>
          </cell>
          <cell r="E35">
            <v>0.352381240500081</v>
          </cell>
          <cell r="F35">
            <v>0.334691588192938</v>
          </cell>
          <cell r="G35">
            <v>0.316994756333358</v>
          </cell>
          <cell r="H35">
            <v>0.288110134683072</v>
          </cell>
          <cell r="I35" t="e">
            <v>#DIV/0!</v>
          </cell>
          <cell r="J35" t="e">
            <v>#DIV/0!</v>
          </cell>
          <cell r="K35" t="e">
            <v>#DIV/0!</v>
          </cell>
          <cell r="L35" t="e">
            <v>#DIV/0!</v>
          </cell>
          <cell r="M35" t="e">
            <v>#DIV/0!</v>
          </cell>
          <cell r="N35" t="e">
            <v>#DIV/0!</v>
          </cell>
          <cell r="O35">
            <v>0.330172801600645</v>
          </cell>
        </row>
        <row r="36">
          <cell r="B36" t="str">
            <v>退货率</v>
          </cell>
          <cell r="C36">
            <v>0.655567611555676</v>
          </cell>
          <cell r="D36">
            <v>0.617748437226149</v>
          </cell>
          <cell r="E36">
            <v>0.61202380952381</v>
          </cell>
          <cell r="F36">
            <v>0.626949034209914</v>
          </cell>
          <cell r="G36">
            <v>0.655409930163589</v>
          </cell>
          <cell r="H36">
            <v>0.663107511045655</v>
          </cell>
          <cell r="I36" t="e">
            <v>#DIV/0!</v>
          </cell>
          <cell r="J36" t="e">
            <v>#DIV/0!</v>
          </cell>
          <cell r="K36" t="e">
            <v>#DIV/0!</v>
          </cell>
          <cell r="L36" t="e">
            <v>#DIV/0!</v>
          </cell>
          <cell r="M36" t="e">
            <v>#DIV/0!</v>
          </cell>
          <cell r="N36" t="e">
            <v>#DIV/0!</v>
          </cell>
          <cell r="O36">
            <v>0.632131106049101</v>
          </cell>
        </row>
        <row r="37">
          <cell r="B37" t="str">
            <v>利润率</v>
          </cell>
          <cell r="C37">
            <v>0.195383034526029</v>
          </cell>
          <cell r="D37">
            <v>0.18773999410926</v>
          </cell>
          <cell r="E37">
            <v>0.158451470404459</v>
          </cell>
          <cell r="F37">
            <v>0.155129035168276</v>
          </cell>
          <cell r="G37">
            <v>0.15183428524004</v>
          </cell>
          <cell r="H37">
            <v>0.157025523348173</v>
          </cell>
          <cell r="I37" t="e">
            <v>#DIV/0!</v>
          </cell>
          <cell r="J37" t="e">
            <v>#DIV/0!</v>
          </cell>
          <cell r="K37" t="e">
            <v>#DIV/0!</v>
          </cell>
          <cell r="L37" t="e">
            <v>#DIV/0!</v>
          </cell>
          <cell r="M37" t="e">
            <v>#DIV/0!</v>
          </cell>
          <cell r="N37" t="e">
            <v>#DIV/0!</v>
          </cell>
          <cell r="O37">
            <v>0.170161205074302</v>
          </cell>
        </row>
        <row r="38">
          <cell r="A38" t="str">
            <v>MYTF5店</v>
          </cell>
          <cell r="B38" t="str">
            <v>实际利润（人民币）</v>
          </cell>
          <cell r="C38">
            <v>98745.23</v>
          </cell>
          <cell r="D38">
            <v>106782.42</v>
          </cell>
          <cell r="E38">
            <v>122622.34</v>
          </cell>
          <cell r="F38">
            <v>149415.87</v>
          </cell>
          <cell r="G38">
            <v>95805.82</v>
          </cell>
          <cell r="H38">
            <v>30284.73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603656.41</v>
          </cell>
        </row>
        <row r="39">
          <cell r="B39" t="str">
            <v>销量完成</v>
          </cell>
          <cell r="C39">
            <v>6740</v>
          </cell>
          <cell r="D39">
            <v>6619</v>
          </cell>
          <cell r="E39">
            <v>7334</v>
          </cell>
          <cell r="F39">
            <v>6965</v>
          </cell>
          <cell r="G39">
            <v>6417</v>
          </cell>
          <cell r="H39">
            <v>1652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35727</v>
          </cell>
        </row>
        <row r="40">
          <cell r="B40" t="str">
            <v>实销完成</v>
          </cell>
          <cell r="C40">
            <v>2322</v>
          </cell>
          <cell r="D40">
            <v>1989</v>
          </cell>
          <cell r="E40">
            <v>2504</v>
          </cell>
          <cell r="F40">
            <v>2459</v>
          </cell>
          <cell r="G40">
            <v>1916</v>
          </cell>
          <cell r="H40">
            <v>541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11731</v>
          </cell>
        </row>
        <row r="41">
          <cell r="B41" t="str">
            <v>GMV完成</v>
          </cell>
          <cell r="C41">
            <v>2158725.2247</v>
          </cell>
          <cell r="D41">
            <v>2221214.7587</v>
          </cell>
          <cell r="E41">
            <v>2614149.1856</v>
          </cell>
          <cell r="F41">
            <v>2746120.052</v>
          </cell>
          <cell r="G41">
            <v>2954093.3256</v>
          </cell>
          <cell r="H41">
            <v>669524.052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13363826.5986</v>
          </cell>
        </row>
        <row r="42">
          <cell r="B42" t="str">
            <v>GSV完成</v>
          </cell>
          <cell r="C42">
            <v>740366.43</v>
          </cell>
          <cell r="D42">
            <v>614880.34</v>
          </cell>
          <cell r="E42">
            <v>806577.74</v>
          </cell>
          <cell r="F42">
            <v>861340.47</v>
          </cell>
          <cell r="G42">
            <v>702420.3795</v>
          </cell>
          <cell r="H42">
            <v>188985.7344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3914571.0939</v>
          </cell>
        </row>
        <row r="43">
          <cell r="B43" t="str">
            <v>退款率</v>
          </cell>
          <cell r="C43">
            <v>0.342964644841675</v>
          </cell>
          <cell r="D43">
            <v>0.276821652472662</v>
          </cell>
          <cell r="E43">
            <v>0.308543117754343</v>
          </cell>
          <cell r="F43">
            <v>0.313657252301364</v>
          </cell>
          <cell r="G43">
            <v>0.237778669147947</v>
          </cell>
          <cell r="H43">
            <v>0.282268775610768</v>
          </cell>
          <cell r="I43" t="e">
            <v>#DIV/0!</v>
          </cell>
          <cell r="J43" t="e">
            <v>#DIV/0!</v>
          </cell>
          <cell r="K43" t="e">
            <v>#DIV/0!</v>
          </cell>
          <cell r="L43" t="e">
            <v>#DIV/0!</v>
          </cell>
          <cell r="M43" t="e">
            <v>#DIV/0!</v>
          </cell>
          <cell r="N43" t="e">
            <v>#DIV/0!</v>
          </cell>
          <cell r="O43">
            <v>0.292922918822524</v>
          </cell>
        </row>
        <row r="44">
          <cell r="B44" t="str">
            <v>退货率</v>
          </cell>
          <cell r="C44">
            <v>0.655489614243323</v>
          </cell>
          <cell r="D44">
            <v>0.699501435262124</v>
          </cell>
          <cell r="E44">
            <v>0.658576493046087</v>
          </cell>
          <cell r="F44">
            <v>0.646949030868629</v>
          </cell>
          <cell r="G44">
            <v>0.701418108150226</v>
          </cell>
          <cell r="H44">
            <v>0.672518159806295</v>
          </cell>
          <cell r="I44" t="e">
            <v>#DIV/0!</v>
          </cell>
          <cell r="J44" t="e">
            <v>#DIV/0!</v>
          </cell>
          <cell r="K44" t="e">
            <v>#DIV/0!</v>
          </cell>
          <cell r="L44" t="e">
            <v>#DIV/0!</v>
          </cell>
          <cell r="M44" t="e">
            <v>#DIV/0!</v>
          </cell>
          <cell r="N44" t="e">
            <v>#DIV/0!</v>
          </cell>
          <cell r="O44">
            <v>0.671648892994094</v>
          </cell>
        </row>
        <row r="45">
          <cell r="B45" t="str">
            <v>利润率</v>
          </cell>
          <cell r="C45">
            <v>0.133373456708457</v>
          </cell>
          <cell r="D45">
            <v>0.173663740818254</v>
          </cell>
          <cell r="E45">
            <v>0.152027924797429</v>
          </cell>
          <cell r="F45">
            <v>0.173469000011111</v>
          </cell>
          <cell r="G45">
            <v>0.136393850173022</v>
          </cell>
          <cell r="H45">
            <v>0.160248762141488</v>
          </cell>
          <cell r="I45" t="e">
            <v>#DIV/0!</v>
          </cell>
          <cell r="J45" t="e">
            <v>#DIV/0!</v>
          </cell>
          <cell r="K45" t="e">
            <v>#DIV/0!</v>
          </cell>
          <cell r="L45" t="e">
            <v>#DIV/0!</v>
          </cell>
          <cell r="M45" t="e">
            <v>#DIV/0!</v>
          </cell>
          <cell r="N45" t="e">
            <v>#DIV/0!</v>
          </cell>
          <cell r="O45">
            <v>0.154207548035254</v>
          </cell>
        </row>
        <row r="46">
          <cell r="A46" t="str">
            <v>HZTF6店</v>
          </cell>
          <cell r="B46" t="str">
            <v>实际利润（人民币）</v>
          </cell>
          <cell r="C46">
            <v>14020.65</v>
          </cell>
          <cell r="D46">
            <v>66698.69</v>
          </cell>
          <cell r="E46">
            <v>115284.82</v>
          </cell>
          <cell r="F46">
            <v>169881.56</v>
          </cell>
          <cell r="G46">
            <v>267227.4</v>
          </cell>
          <cell r="H46">
            <v>70950.96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704064.08</v>
          </cell>
        </row>
        <row r="47">
          <cell r="B47" t="str">
            <v>销量完成</v>
          </cell>
          <cell r="C47">
            <v>2236</v>
          </cell>
          <cell r="D47">
            <v>4852</v>
          </cell>
          <cell r="E47">
            <v>6178</v>
          </cell>
          <cell r="F47">
            <v>7019</v>
          </cell>
          <cell r="G47">
            <v>8516</v>
          </cell>
          <cell r="H47">
            <v>2443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31244</v>
          </cell>
        </row>
        <row r="48">
          <cell r="B48" t="str">
            <v>实销完成</v>
          </cell>
          <cell r="C48">
            <v>621</v>
          </cell>
          <cell r="D48">
            <v>1541</v>
          </cell>
          <cell r="E48">
            <v>2178</v>
          </cell>
          <cell r="F48">
            <v>2410</v>
          </cell>
          <cell r="G48">
            <v>3226</v>
          </cell>
          <cell r="H48">
            <v>936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10912</v>
          </cell>
        </row>
        <row r="49">
          <cell r="B49" t="str">
            <v>GMV完成</v>
          </cell>
          <cell r="C49">
            <v>715121.5005</v>
          </cell>
          <cell r="D49">
            <v>1585053.0701</v>
          </cell>
          <cell r="E49">
            <v>2306985.484</v>
          </cell>
          <cell r="F49">
            <v>2869544.286</v>
          </cell>
          <cell r="G49">
            <v>3625780.1448</v>
          </cell>
          <cell r="H49">
            <v>1008220.752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12110705.2374</v>
          </cell>
        </row>
        <row r="50">
          <cell r="B50" t="str">
            <v>GSV完成</v>
          </cell>
          <cell r="C50">
            <v>199499.49</v>
          </cell>
          <cell r="D50">
            <v>522521.48</v>
          </cell>
          <cell r="E50">
            <v>726996.58</v>
          </cell>
          <cell r="F50">
            <v>863626.8</v>
          </cell>
          <cell r="G50">
            <v>1213786.7552</v>
          </cell>
          <cell r="H50">
            <v>328535.4711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3854966.5763</v>
          </cell>
        </row>
        <row r="51">
          <cell r="B51" t="str">
            <v>退款率</v>
          </cell>
          <cell r="C51">
            <v>0.278972859661629</v>
          </cell>
          <cell r="D51">
            <v>0.329655511135053</v>
          </cell>
          <cell r="E51">
            <v>0.315128372086454</v>
          </cell>
          <cell r="F51">
            <v>0.300963049852021</v>
          </cell>
          <cell r="G51">
            <v>0.334765679860865</v>
          </cell>
          <cell r="H51">
            <v>0.32585668411237</v>
          </cell>
          <cell r="I51" t="e">
            <v>#DIV/0!</v>
          </cell>
          <cell r="J51" t="e">
            <v>#DIV/0!</v>
          </cell>
          <cell r="K51" t="e">
            <v>#DIV/0!</v>
          </cell>
          <cell r="L51" t="e">
            <v>#DIV/0!</v>
          </cell>
          <cell r="M51" t="e">
            <v>#DIV/0!</v>
          </cell>
          <cell r="N51" t="e">
            <v>#DIV/0!</v>
          </cell>
          <cell r="O51">
            <v>0.318310659927151</v>
          </cell>
        </row>
        <row r="52">
          <cell r="B52" t="str">
            <v>退货率</v>
          </cell>
          <cell r="C52">
            <v>0.722271914132379</v>
          </cell>
          <cell r="D52">
            <v>0.68239901071723</v>
          </cell>
          <cell r="E52">
            <v>0.647458724506313</v>
          </cell>
          <cell r="F52">
            <v>0.656646245903975</v>
          </cell>
          <cell r="G52">
            <v>0.621183654297792</v>
          </cell>
          <cell r="H52">
            <v>0.616864510847319</v>
          </cell>
          <cell r="I52" t="e">
            <v>#DIV/0!</v>
          </cell>
          <cell r="J52" t="e">
            <v>#DIV/0!</v>
          </cell>
          <cell r="K52" t="e">
            <v>#DIV/0!</v>
          </cell>
          <cell r="L52" t="e">
            <v>#DIV/0!</v>
          </cell>
          <cell r="M52" t="e">
            <v>#DIV/0!</v>
          </cell>
          <cell r="N52" t="e">
            <v>#DIV/0!</v>
          </cell>
          <cell r="O52">
            <v>0.650748943797209</v>
          </cell>
        </row>
        <row r="53">
          <cell r="B53" t="str">
            <v>利润率</v>
          </cell>
          <cell r="C53">
            <v>0.0702791270293473</v>
          </cell>
          <cell r="D53">
            <v>0.127647747610299</v>
          </cell>
          <cell r="E53">
            <v>0.158576839522409</v>
          </cell>
          <cell r="F53">
            <v>0.196707142483304</v>
          </cell>
          <cell r="G53">
            <v>0.22016008895728</v>
          </cell>
          <cell r="H53">
            <v>0.21596133824589</v>
          </cell>
          <cell r="I53" t="e">
            <v>#DIV/0!</v>
          </cell>
          <cell r="J53" t="e">
            <v>#DIV/0!</v>
          </cell>
          <cell r="K53" t="e">
            <v>#DIV/0!</v>
          </cell>
          <cell r="L53" t="e">
            <v>#DIV/0!</v>
          </cell>
          <cell r="M53" t="e">
            <v>#DIV/0!</v>
          </cell>
          <cell r="N53" t="e">
            <v>#DIV/0!</v>
          </cell>
          <cell r="O53">
            <v>0.182638180141048</v>
          </cell>
        </row>
        <row r="54">
          <cell r="A54" t="str">
            <v>JDTF1店</v>
          </cell>
          <cell r="B54" t="str">
            <v>实际利润（人民币）</v>
          </cell>
          <cell r="C54">
            <v>69582.72</v>
          </cell>
          <cell r="D54">
            <v>29149.31</v>
          </cell>
          <cell r="E54">
            <v>-4952.39</v>
          </cell>
          <cell r="F54">
            <v>23093.23</v>
          </cell>
          <cell r="G54">
            <v>16701</v>
          </cell>
          <cell r="H54">
            <v>6770.35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140344.22</v>
          </cell>
        </row>
        <row r="55">
          <cell r="B55" t="str">
            <v>销量完成</v>
          </cell>
          <cell r="C55">
            <v>6138</v>
          </cell>
          <cell r="D55">
            <v>3931</v>
          </cell>
          <cell r="E55">
            <v>2500</v>
          </cell>
          <cell r="F55">
            <v>2640</v>
          </cell>
          <cell r="G55">
            <v>1367</v>
          </cell>
          <cell r="H55">
            <v>300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16876</v>
          </cell>
        </row>
        <row r="56">
          <cell r="B56" t="str">
            <v>实销完成</v>
          </cell>
          <cell r="C56">
            <v>2149</v>
          </cell>
          <cell r="D56">
            <v>1510</v>
          </cell>
          <cell r="E56">
            <v>933</v>
          </cell>
          <cell r="F56">
            <v>896</v>
          </cell>
          <cell r="G56">
            <v>538</v>
          </cell>
          <cell r="H56">
            <v>120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6146</v>
          </cell>
        </row>
        <row r="57">
          <cell r="B57" t="str">
            <v>GMV完成</v>
          </cell>
          <cell r="C57">
            <v>1986717.942</v>
          </cell>
          <cell r="D57">
            <v>1346880.8889</v>
          </cell>
          <cell r="E57">
            <v>917288.5728</v>
          </cell>
          <cell r="F57">
            <v>1028856.0636</v>
          </cell>
          <cell r="G57">
            <v>525763.644</v>
          </cell>
          <cell r="H57">
            <v>115087.674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5920594.7853</v>
          </cell>
        </row>
        <row r="58">
          <cell r="B58" t="str">
            <v>GSV完成</v>
          </cell>
          <cell r="C58">
            <v>1006130.59</v>
          </cell>
          <cell r="D58">
            <v>496470.44</v>
          </cell>
          <cell r="E58">
            <v>313683.19</v>
          </cell>
          <cell r="F58">
            <v>309148.93</v>
          </cell>
          <cell r="G58">
            <v>179792.9497</v>
          </cell>
          <cell r="H58">
            <v>36255.7421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2341481.8418</v>
          </cell>
        </row>
        <row r="59">
          <cell r="B59" t="str">
            <v>退款率</v>
          </cell>
          <cell r="C59">
            <v>0.506428501363985</v>
          </cell>
          <cell r="D59">
            <v>0.368607531736135</v>
          </cell>
          <cell r="E59">
            <v>0.341967837931841</v>
          </cell>
          <cell r="F59">
            <v>0.300478308810543</v>
          </cell>
          <cell r="G59">
            <v>0.341965352210622</v>
          </cell>
          <cell r="H59">
            <v>0.315027151387211</v>
          </cell>
          <cell r="I59" t="e">
            <v>#DIV/0!</v>
          </cell>
          <cell r="J59" t="e">
            <v>#DIV/0!</v>
          </cell>
          <cell r="K59" t="e">
            <v>#DIV/0!</v>
          </cell>
          <cell r="L59" t="e">
            <v>#DIV/0!</v>
          </cell>
          <cell r="M59" t="e">
            <v>#DIV/0!</v>
          </cell>
          <cell r="N59" t="e">
            <v>#DIV/0!</v>
          </cell>
          <cell r="O59">
            <v>0.395480847230682</v>
          </cell>
        </row>
        <row r="60">
          <cell r="B60" t="str">
            <v>退货率</v>
          </cell>
          <cell r="C60">
            <v>0.649885956337569</v>
          </cell>
          <cell r="D60">
            <v>0.615873823454592</v>
          </cell>
          <cell r="E60">
            <v>0.6268</v>
          </cell>
          <cell r="F60">
            <v>0.660606060606061</v>
          </cell>
          <cell r="G60">
            <v>0.606437454279444</v>
          </cell>
          <cell r="H60">
            <v>0.6</v>
          </cell>
          <cell r="I60" t="e">
            <v>#DIV/0!</v>
          </cell>
          <cell r="J60" t="e">
            <v>#DIV/0!</v>
          </cell>
          <cell r="K60" t="e">
            <v>#DIV/0!</v>
          </cell>
          <cell r="L60" t="e">
            <v>#DIV/0!</v>
          </cell>
          <cell r="M60" t="e">
            <v>#DIV/0!</v>
          </cell>
          <cell r="N60" t="e">
            <v>#DIV/0!</v>
          </cell>
          <cell r="O60">
            <v>0.635814173974875</v>
          </cell>
        </row>
        <row r="61">
          <cell r="B61" t="str">
            <v>利润率</v>
          </cell>
          <cell r="C61">
            <v>0.0691587361437843</v>
          </cell>
          <cell r="D61">
            <v>0.0587130826963233</v>
          </cell>
          <cell r="E61">
            <v>-0.0157878718333616</v>
          </cell>
          <cell r="F61">
            <v>0.074699369006388</v>
          </cell>
          <cell r="G61">
            <v>0.0928901830014306</v>
          </cell>
          <cell r="H61">
            <v>0.186738695937491</v>
          </cell>
          <cell r="I61" t="e">
            <v>#DIV/0!</v>
          </cell>
          <cell r="J61" t="e">
            <v>#DIV/0!</v>
          </cell>
          <cell r="K61" t="e">
            <v>#DIV/0!</v>
          </cell>
          <cell r="L61" t="e">
            <v>#DIV/0!</v>
          </cell>
          <cell r="M61" t="e">
            <v>#DIV/0!</v>
          </cell>
          <cell r="N61" t="e">
            <v>#DIV/0!</v>
          </cell>
          <cell r="O61">
            <v>0.0599382055818597</v>
          </cell>
        </row>
        <row r="62">
          <cell r="A62" t="str">
            <v>新店1</v>
          </cell>
          <cell r="B62" t="str">
            <v>实际利润（人民币）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B63" t="str">
            <v>销量完成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B64" t="str">
            <v>实销完成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GMV完成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B66" t="str">
            <v>GSV完成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B67" t="str">
            <v>退款率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</row>
        <row r="68">
          <cell r="B68" t="str">
            <v>退货率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</row>
        <row r="69">
          <cell r="B69" t="str">
            <v>利润率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</row>
        <row r="70">
          <cell r="A70" t="str">
            <v>新店2</v>
          </cell>
          <cell r="B70" t="str">
            <v>实际利润（人民币）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</row>
        <row r="71">
          <cell r="B71" t="str">
            <v>销量完成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</row>
        <row r="72">
          <cell r="B72" t="str">
            <v>实销完成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</row>
        <row r="73">
          <cell r="B73" t="str">
            <v>GMV完成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</row>
        <row r="74">
          <cell r="B74" t="str">
            <v>GSV完成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</row>
        <row r="75">
          <cell r="B75" t="str">
            <v>退款率</v>
          </cell>
          <cell r="C75" t="e">
            <v>#DIV/0!</v>
          </cell>
          <cell r="D75" t="e">
            <v>#DIV/0!</v>
          </cell>
          <cell r="E75" t="e">
            <v>#DIV/0!</v>
          </cell>
          <cell r="F75" t="e">
            <v>#DIV/0!</v>
          </cell>
          <cell r="G75" t="e">
            <v>#DIV/0!</v>
          </cell>
          <cell r="H75" t="e">
            <v>#DIV/0!</v>
          </cell>
          <cell r="I75" t="e">
            <v>#DIV/0!</v>
          </cell>
          <cell r="J75" t="e">
            <v>#DIV/0!</v>
          </cell>
          <cell r="K75" t="e">
            <v>#DIV/0!</v>
          </cell>
          <cell r="L75" t="e">
            <v>#DIV/0!</v>
          </cell>
          <cell r="M75" t="e">
            <v>#DIV/0!</v>
          </cell>
          <cell r="N75" t="e">
            <v>#DIV/0!</v>
          </cell>
          <cell r="O75" t="e">
            <v>#DIV/0!</v>
          </cell>
        </row>
        <row r="76">
          <cell r="B76" t="str">
            <v>退货率</v>
          </cell>
          <cell r="C76" t="e">
            <v>#DIV/0!</v>
          </cell>
          <cell r="D76" t="e">
            <v>#DIV/0!</v>
          </cell>
          <cell r="E76" t="e">
            <v>#DIV/0!</v>
          </cell>
          <cell r="F76" t="e">
            <v>#DIV/0!</v>
          </cell>
          <cell r="G76" t="e">
            <v>#DIV/0!</v>
          </cell>
          <cell r="H76" t="e">
            <v>#DIV/0!</v>
          </cell>
          <cell r="I76" t="e">
            <v>#DIV/0!</v>
          </cell>
          <cell r="J76" t="e">
            <v>#DIV/0!</v>
          </cell>
          <cell r="K76" t="e">
            <v>#DIV/0!</v>
          </cell>
          <cell r="L76" t="e">
            <v>#DIV/0!</v>
          </cell>
          <cell r="M76" t="e">
            <v>#DIV/0!</v>
          </cell>
          <cell r="N76" t="e">
            <v>#DIV/0!</v>
          </cell>
          <cell r="O76" t="e">
            <v>#DIV/0!</v>
          </cell>
        </row>
        <row r="77">
          <cell r="B77" t="str">
            <v>利润率</v>
          </cell>
          <cell r="C77" t="e">
            <v>#DIV/0!</v>
          </cell>
          <cell r="D77" t="e">
            <v>#DIV/0!</v>
          </cell>
          <cell r="E77" t="e">
            <v>#DIV/0!</v>
          </cell>
          <cell r="F77" t="e">
            <v>#DIV/0!</v>
          </cell>
          <cell r="G77" t="e">
            <v>#DIV/0!</v>
          </cell>
          <cell r="H77" t="e">
            <v>#DIV/0!</v>
          </cell>
          <cell r="I77" t="e">
            <v>#DIV/0!</v>
          </cell>
          <cell r="J77" t="e">
            <v>#DIV/0!</v>
          </cell>
          <cell r="K77" t="e">
            <v>#DIV/0!</v>
          </cell>
          <cell r="L77" t="e">
            <v>#DIV/0!</v>
          </cell>
          <cell r="M77" t="e">
            <v>#DIV/0!</v>
          </cell>
          <cell r="N77" t="e">
            <v>#DIV/0!</v>
          </cell>
          <cell r="O77" t="e">
            <v>#DIV/0!</v>
          </cell>
        </row>
        <row r="78">
          <cell r="A78" t="str">
            <v>新店3</v>
          </cell>
          <cell r="B78" t="str">
            <v>实际利润（人民币）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  <row r="79">
          <cell r="B79" t="str">
            <v>销量完成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B80" t="str">
            <v>实销完成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</row>
        <row r="81">
          <cell r="B81" t="str">
            <v>GMV完成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</row>
        <row r="82">
          <cell r="B82" t="str">
            <v>GSV完成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B83" t="str">
            <v>退款率</v>
          </cell>
          <cell r="C83" t="e">
            <v>#DIV/0!</v>
          </cell>
          <cell r="D83" t="e">
            <v>#DIV/0!</v>
          </cell>
          <cell r="E83" t="e">
            <v>#DIV/0!</v>
          </cell>
          <cell r="F83" t="e">
            <v>#DIV/0!</v>
          </cell>
          <cell r="G83" t="e">
            <v>#DIV/0!</v>
          </cell>
          <cell r="H83" t="e">
            <v>#DIV/0!</v>
          </cell>
          <cell r="I83" t="e">
            <v>#DIV/0!</v>
          </cell>
          <cell r="J83" t="e">
            <v>#DIV/0!</v>
          </cell>
          <cell r="K83" t="e">
            <v>#DIV/0!</v>
          </cell>
          <cell r="L83" t="e">
            <v>#DIV/0!</v>
          </cell>
          <cell r="M83" t="e">
            <v>#DIV/0!</v>
          </cell>
          <cell r="N83" t="e">
            <v>#DIV/0!</v>
          </cell>
          <cell r="O83" t="e">
            <v>#DIV/0!</v>
          </cell>
        </row>
        <row r="84">
          <cell r="B84" t="str">
            <v>退货率</v>
          </cell>
          <cell r="C84" t="e">
            <v>#DIV/0!</v>
          </cell>
          <cell r="D84" t="e">
            <v>#DIV/0!</v>
          </cell>
          <cell r="E84" t="e">
            <v>#DIV/0!</v>
          </cell>
          <cell r="F84" t="e">
            <v>#DIV/0!</v>
          </cell>
          <cell r="G84" t="e">
            <v>#DIV/0!</v>
          </cell>
          <cell r="H84" t="e">
            <v>#DIV/0!</v>
          </cell>
          <cell r="I84" t="e">
            <v>#DIV/0!</v>
          </cell>
          <cell r="J84" t="e">
            <v>#DIV/0!</v>
          </cell>
          <cell r="K84" t="e">
            <v>#DIV/0!</v>
          </cell>
          <cell r="L84" t="e">
            <v>#DIV/0!</v>
          </cell>
          <cell r="M84" t="e">
            <v>#DIV/0!</v>
          </cell>
          <cell r="N84" t="e">
            <v>#DIV/0!</v>
          </cell>
          <cell r="O84" t="e">
            <v>#DIV/0!</v>
          </cell>
        </row>
        <row r="85">
          <cell r="B85" t="str">
            <v>利润率</v>
          </cell>
          <cell r="C85" t="e">
            <v>#DIV/0!</v>
          </cell>
          <cell r="D85" t="e">
            <v>#DIV/0!</v>
          </cell>
          <cell r="E85" t="e">
            <v>#DIV/0!</v>
          </cell>
          <cell r="F85" t="e">
            <v>#DIV/0!</v>
          </cell>
          <cell r="G85" t="e">
            <v>#DIV/0!</v>
          </cell>
          <cell r="H85" t="e">
            <v>#DIV/0!</v>
          </cell>
          <cell r="I85" t="e">
            <v>#DIV/0!</v>
          </cell>
          <cell r="J85" t="e">
            <v>#DIV/0!</v>
          </cell>
          <cell r="K85" t="e">
            <v>#DIV/0!</v>
          </cell>
          <cell r="L85" t="e">
            <v>#DIV/0!</v>
          </cell>
          <cell r="M85" t="e">
            <v>#DIV/0!</v>
          </cell>
          <cell r="N85" t="e">
            <v>#DIV/0!</v>
          </cell>
          <cell r="O85" t="e">
            <v>#DIV/0!</v>
          </cell>
        </row>
        <row r="86">
          <cell r="A86" t="str">
            <v>新店4</v>
          </cell>
          <cell r="B86" t="str">
            <v>实际利润（人民币）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B87" t="str">
            <v>销量完成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B88" t="str">
            <v>实销完成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B89" t="str">
            <v>GMV完成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</row>
        <row r="90">
          <cell r="B90" t="str">
            <v>GSV完成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B91" t="str">
            <v>退款率</v>
          </cell>
          <cell r="C91" t="e">
            <v>#DIV/0!</v>
          </cell>
          <cell r="D91" t="e">
            <v>#DIV/0!</v>
          </cell>
          <cell r="E91" t="e">
            <v>#DIV/0!</v>
          </cell>
          <cell r="F91" t="e">
            <v>#DIV/0!</v>
          </cell>
          <cell r="G91" t="e">
            <v>#DIV/0!</v>
          </cell>
          <cell r="H91" t="e">
            <v>#DIV/0!</v>
          </cell>
          <cell r="I91" t="e">
            <v>#DIV/0!</v>
          </cell>
          <cell r="J91" t="e">
            <v>#DIV/0!</v>
          </cell>
          <cell r="K91" t="e">
            <v>#DIV/0!</v>
          </cell>
          <cell r="L91" t="e">
            <v>#DIV/0!</v>
          </cell>
          <cell r="M91" t="e">
            <v>#DIV/0!</v>
          </cell>
          <cell r="N91" t="e">
            <v>#DIV/0!</v>
          </cell>
          <cell r="O91" t="e">
            <v>#DIV/0!</v>
          </cell>
        </row>
        <row r="92">
          <cell r="B92" t="str">
            <v>退货率</v>
          </cell>
          <cell r="C92" t="e">
            <v>#DIV/0!</v>
          </cell>
          <cell r="D92" t="e">
            <v>#DIV/0!</v>
          </cell>
          <cell r="E92" t="e">
            <v>#DIV/0!</v>
          </cell>
          <cell r="F92" t="e">
            <v>#DIV/0!</v>
          </cell>
          <cell r="G92" t="e">
            <v>#DIV/0!</v>
          </cell>
          <cell r="H92" t="e">
            <v>#DIV/0!</v>
          </cell>
          <cell r="I92" t="e">
            <v>#DIV/0!</v>
          </cell>
          <cell r="J92" t="e">
            <v>#DIV/0!</v>
          </cell>
          <cell r="K92" t="e">
            <v>#DIV/0!</v>
          </cell>
          <cell r="L92" t="e">
            <v>#DIV/0!</v>
          </cell>
          <cell r="M92" t="e">
            <v>#DIV/0!</v>
          </cell>
          <cell r="N92" t="e">
            <v>#DIV/0!</v>
          </cell>
          <cell r="O92" t="e">
            <v>#DIV/0!</v>
          </cell>
        </row>
        <row r="93">
          <cell r="B93" t="str">
            <v>利润率</v>
          </cell>
          <cell r="C93" t="e">
            <v>#DIV/0!</v>
          </cell>
          <cell r="D93" t="e">
            <v>#DIV/0!</v>
          </cell>
          <cell r="E93" t="e">
            <v>#DIV/0!</v>
          </cell>
          <cell r="F93" t="e">
            <v>#DIV/0!</v>
          </cell>
          <cell r="G93" t="e">
            <v>#DIV/0!</v>
          </cell>
          <cell r="H93" t="e">
            <v>#DIV/0!</v>
          </cell>
          <cell r="I93" t="e">
            <v>#DIV/0!</v>
          </cell>
          <cell r="J93" t="e">
            <v>#DIV/0!</v>
          </cell>
          <cell r="K93" t="e">
            <v>#DIV/0!</v>
          </cell>
          <cell r="L93" t="e">
            <v>#DIV/0!</v>
          </cell>
          <cell r="M93" t="e">
            <v>#DIV/0!</v>
          </cell>
          <cell r="N93" t="e">
            <v>#DIV/0!</v>
          </cell>
          <cell r="O93" t="e">
            <v>#DIV/0!</v>
          </cell>
        </row>
        <row r="94">
          <cell r="A94" t="str">
            <v>新店5</v>
          </cell>
          <cell r="B94" t="str">
            <v>实际利润（人民币）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</row>
        <row r="95">
          <cell r="B95" t="str">
            <v>销量完成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</row>
        <row r="96">
          <cell r="B96" t="str">
            <v>实销完成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</row>
        <row r="97">
          <cell r="B97" t="str">
            <v>GMV完成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</row>
        <row r="98">
          <cell r="B98" t="str">
            <v>GSV完成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</row>
        <row r="99">
          <cell r="B99" t="str">
            <v>退款率</v>
          </cell>
          <cell r="C99" t="e">
            <v>#DIV/0!</v>
          </cell>
          <cell r="D99" t="e">
            <v>#DIV/0!</v>
          </cell>
          <cell r="E99" t="e">
            <v>#DIV/0!</v>
          </cell>
          <cell r="F99" t="e">
            <v>#DIV/0!</v>
          </cell>
          <cell r="G99" t="e">
            <v>#DIV/0!</v>
          </cell>
          <cell r="H99" t="e">
            <v>#DIV/0!</v>
          </cell>
          <cell r="I99" t="e">
            <v>#DIV/0!</v>
          </cell>
          <cell r="J99" t="e">
            <v>#DIV/0!</v>
          </cell>
          <cell r="K99" t="e">
            <v>#DIV/0!</v>
          </cell>
          <cell r="L99" t="e">
            <v>#DIV/0!</v>
          </cell>
          <cell r="M99" t="e">
            <v>#DIV/0!</v>
          </cell>
          <cell r="N99" t="e">
            <v>#DIV/0!</v>
          </cell>
          <cell r="O99" t="e">
            <v>#DIV/0!</v>
          </cell>
        </row>
        <row r="100">
          <cell r="B100" t="str">
            <v>退货率</v>
          </cell>
          <cell r="C100" t="e">
            <v>#DIV/0!</v>
          </cell>
          <cell r="D100" t="e">
            <v>#DIV/0!</v>
          </cell>
          <cell r="E100" t="e">
            <v>#DIV/0!</v>
          </cell>
          <cell r="F100" t="e">
            <v>#DIV/0!</v>
          </cell>
          <cell r="G100" t="e">
            <v>#DIV/0!</v>
          </cell>
          <cell r="H100" t="e">
            <v>#DIV/0!</v>
          </cell>
          <cell r="I100" t="e">
            <v>#DIV/0!</v>
          </cell>
          <cell r="J100" t="e">
            <v>#DIV/0!</v>
          </cell>
          <cell r="K100" t="e">
            <v>#DIV/0!</v>
          </cell>
          <cell r="L100" t="e">
            <v>#DIV/0!</v>
          </cell>
          <cell r="M100" t="e">
            <v>#DIV/0!</v>
          </cell>
          <cell r="N100" t="e">
            <v>#DIV/0!</v>
          </cell>
          <cell r="O100" t="e">
            <v>#DIV/0!</v>
          </cell>
        </row>
        <row r="101">
          <cell r="B101" t="str">
            <v>利润率</v>
          </cell>
          <cell r="C101" t="e">
            <v>#DIV/0!</v>
          </cell>
          <cell r="D101" t="e">
            <v>#DIV/0!</v>
          </cell>
          <cell r="E101" t="e">
            <v>#DIV/0!</v>
          </cell>
          <cell r="F101" t="e">
            <v>#DIV/0!</v>
          </cell>
          <cell r="G101" t="e">
            <v>#DIV/0!</v>
          </cell>
          <cell r="H101" t="e">
            <v>#DIV/0!</v>
          </cell>
          <cell r="I101" t="e">
            <v>#DIV/0!</v>
          </cell>
          <cell r="J101" t="e">
            <v>#DIV/0!</v>
          </cell>
          <cell r="K101" t="e">
            <v>#DIV/0!</v>
          </cell>
          <cell r="L101" t="e">
            <v>#DIV/0!</v>
          </cell>
          <cell r="M101" t="e">
            <v>#DIV/0!</v>
          </cell>
          <cell r="N101" t="e">
            <v>#DIV/0!</v>
          </cell>
          <cell r="O101" t="e">
            <v>#DIV/0!</v>
          </cell>
        </row>
        <row r="102">
          <cell r="A102" t="str">
            <v>新店6</v>
          </cell>
          <cell r="B102" t="str">
            <v>实际利润（人民币）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B103" t="str">
            <v>销量完成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</row>
        <row r="104">
          <cell r="B104" t="str">
            <v>实销完成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B105" t="str">
            <v>GMV完成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</row>
        <row r="106">
          <cell r="B106" t="str">
            <v>GSV完成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</row>
        <row r="107">
          <cell r="B107" t="str">
            <v>退款率</v>
          </cell>
          <cell r="C107" t="e">
            <v>#DIV/0!</v>
          </cell>
          <cell r="D107" t="e">
            <v>#DIV/0!</v>
          </cell>
          <cell r="E107" t="e">
            <v>#DIV/0!</v>
          </cell>
          <cell r="F107" t="e">
            <v>#DIV/0!</v>
          </cell>
          <cell r="G107" t="e">
            <v>#DIV/0!</v>
          </cell>
          <cell r="H107" t="e">
            <v>#DIV/0!</v>
          </cell>
          <cell r="I107" t="e">
            <v>#DIV/0!</v>
          </cell>
          <cell r="J107" t="e">
            <v>#DIV/0!</v>
          </cell>
          <cell r="K107" t="e">
            <v>#DIV/0!</v>
          </cell>
          <cell r="L107" t="e">
            <v>#DIV/0!</v>
          </cell>
          <cell r="M107" t="e">
            <v>#DIV/0!</v>
          </cell>
          <cell r="N107" t="e">
            <v>#DIV/0!</v>
          </cell>
          <cell r="O107" t="e">
            <v>#DIV/0!</v>
          </cell>
        </row>
        <row r="108">
          <cell r="B108" t="str">
            <v>退货率</v>
          </cell>
          <cell r="C108" t="e">
            <v>#DIV/0!</v>
          </cell>
          <cell r="D108" t="e">
            <v>#DIV/0!</v>
          </cell>
          <cell r="E108" t="e">
            <v>#DIV/0!</v>
          </cell>
          <cell r="F108" t="e">
            <v>#DIV/0!</v>
          </cell>
          <cell r="G108" t="e">
            <v>#DIV/0!</v>
          </cell>
          <cell r="H108" t="e">
            <v>#DIV/0!</v>
          </cell>
          <cell r="I108" t="e">
            <v>#DIV/0!</v>
          </cell>
          <cell r="J108" t="e">
            <v>#DIV/0!</v>
          </cell>
          <cell r="K108" t="e">
            <v>#DIV/0!</v>
          </cell>
          <cell r="L108" t="e">
            <v>#DIV/0!</v>
          </cell>
          <cell r="M108" t="e">
            <v>#DIV/0!</v>
          </cell>
          <cell r="N108" t="e">
            <v>#DIV/0!</v>
          </cell>
          <cell r="O108" t="e">
            <v>#DIV/0!</v>
          </cell>
        </row>
        <row r="109">
          <cell r="B109" t="str">
            <v>利润率</v>
          </cell>
          <cell r="C109" t="e">
            <v>#DIV/0!</v>
          </cell>
          <cell r="D109" t="e">
            <v>#DIV/0!</v>
          </cell>
          <cell r="E109" t="e">
            <v>#DIV/0!</v>
          </cell>
          <cell r="F109" t="e">
            <v>#DIV/0!</v>
          </cell>
          <cell r="G109" t="e">
            <v>#DIV/0!</v>
          </cell>
          <cell r="H109" t="e">
            <v>#DIV/0!</v>
          </cell>
          <cell r="I109" t="e">
            <v>#DIV/0!</v>
          </cell>
          <cell r="J109" t="e">
            <v>#DIV/0!</v>
          </cell>
          <cell r="K109" t="e">
            <v>#DIV/0!</v>
          </cell>
          <cell r="L109" t="e">
            <v>#DIV/0!</v>
          </cell>
          <cell r="M109" t="e">
            <v>#DIV/0!</v>
          </cell>
          <cell r="N109" t="e">
            <v>#DIV/0!</v>
          </cell>
          <cell r="O109" t="e">
            <v>#DIV/0!</v>
          </cell>
        </row>
        <row r="110">
          <cell r="A110" t="str">
            <v>新店7</v>
          </cell>
          <cell r="B110" t="str">
            <v>实际利润（人民币）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</row>
        <row r="111">
          <cell r="B111" t="str">
            <v>销量完成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2">
          <cell r="B112" t="str">
            <v>实销完成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</row>
        <row r="113">
          <cell r="B113" t="str">
            <v>GMV完成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</row>
        <row r="114">
          <cell r="B114" t="str">
            <v>GSV完成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</row>
        <row r="115">
          <cell r="B115" t="str">
            <v>退款率</v>
          </cell>
          <cell r="C115" t="e">
            <v>#DIV/0!</v>
          </cell>
          <cell r="D115" t="e">
            <v>#DIV/0!</v>
          </cell>
          <cell r="E115" t="e">
            <v>#DIV/0!</v>
          </cell>
          <cell r="F115" t="e">
            <v>#DIV/0!</v>
          </cell>
          <cell r="G115" t="e">
            <v>#DIV/0!</v>
          </cell>
          <cell r="H115" t="e">
            <v>#DIV/0!</v>
          </cell>
          <cell r="I115" t="e">
            <v>#DIV/0!</v>
          </cell>
          <cell r="J115" t="e">
            <v>#DIV/0!</v>
          </cell>
          <cell r="K115" t="e">
            <v>#DIV/0!</v>
          </cell>
          <cell r="L115" t="e">
            <v>#DIV/0!</v>
          </cell>
          <cell r="M115" t="e">
            <v>#DIV/0!</v>
          </cell>
          <cell r="N115" t="e">
            <v>#DIV/0!</v>
          </cell>
          <cell r="O115" t="e">
            <v>#DIV/0!</v>
          </cell>
        </row>
        <row r="116">
          <cell r="B116" t="str">
            <v>退货率</v>
          </cell>
          <cell r="C116" t="e">
            <v>#DIV/0!</v>
          </cell>
          <cell r="D116" t="e">
            <v>#DIV/0!</v>
          </cell>
          <cell r="E116" t="e">
            <v>#DIV/0!</v>
          </cell>
          <cell r="F116" t="e">
            <v>#DIV/0!</v>
          </cell>
          <cell r="G116" t="e">
            <v>#DIV/0!</v>
          </cell>
          <cell r="H116" t="e">
            <v>#DIV/0!</v>
          </cell>
          <cell r="I116" t="e">
            <v>#DIV/0!</v>
          </cell>
          <cell r="J116" t="e">
            <v>#DIV/0!</v>
          </cell>
          <cell r="K116" t="e">
            <v>#DIV/0!</v>
          </cell>
          <cell r="L116" t="e">
            <v>#DIV/0!</v>
          </cell>
          <cell r="M116" t="e">
            <v>#DIV/0!</v>
          </cell>
          <cell r="N116" t="e">
            <v>#DIV/0!</v>
          </cell>
          <cell r="O116" t="e">
            <v>#DIV/0!</v>
          </cell>
        </row>
        <row r="117">
          <cell r="B117" t="str">
            <v>利润率</v>
          </cell>
          <cell r="C117" t="e">
            <v>#DIV/0!</v>
          </cell>
          <cell r="D117" t="e">
            <v>#DIV/0!</v>
          </cell>
          <cell r="E117" t="e">
            <v>#DIV/0!</v>
          </cell>
          <cell r="F117" t="e">
            <v>#DIV/0!</v>
          </cell>
          <cell r="G117" t="e">
            <v>#DIV/0!</v>
          </cell>
          <cell r="H117" t="e">
            <v>#DIV/0!</v>
          </cell>
          <cell r="I117" t="e">
            <v>#DIV/0!</v>
          </cell>
          <cell r="J117" t="e">
            <v>#DIV/0!</v>
          </cell>
          <cell r="K117" t="e">
            <v>#DIV/0!</v>
          </cell>
          <cell r="L117" t="e">
            <v>#DIV/0!</v>
          </cell>
          <cell r="M117" t="e">
            <v>#DIV/0!</v>
          </cell>
          <cell r="N117" t="e">
            <v>#DIV/0!</v>
          </cell>
          <cell r="O117" t="e">
            <v>#DIV/0!</v>
          </cell>
        </row>
        <row r="118">
          <cell r="A118" t="str">
            <v>核心三款</v>
          </cell>
          <cell r="B118" t="str">
            <v>实际利润（人民币）</v>
          </cell>
          <cell r="C118" t="e">
            <v>#REF!</v>
          </cell>
          <cell r="D118">
            <v>0</v>
          </cell>
          <cell r="E118" t="e">
            <v>#REF!</v>
          </cell>
          <cell r="F118" t="e">
            <v>#REF!</v>
          </cell>
          <cell r="G118" t="e">
            <v>#REF!</v>
          </cell>
          <cell r="H118" t="e">
            <v>#REF!</v>
          </cell>
          <cell r="I118" t="e">
            <v>#REF!</v>
          </cell>
          <cell r="J118" t="e">
            <v>#REF!</v>
          </cell>
          <cell r="K118" t="e">
            <v>#REF!</v>
          </cell>
          <cell r="L118" t="e">
            <v>#REF!</v>
          </cell>
          <cell r="M118" t="e">
            <v>#REF!</v>
          </cell>
          <cell r="N118" t="e">
            <v>#REF!</v>
          </cell>
          <cell r="O118" t="e">
            <v>#REF!</v>
          </cell>
        </row>
        <row r="119">
          <cell r="B119" t="str">
            <v>销量完成</v>
          </cell>
          <cell r="C119" t="e">
            <v>#REF!</v>
          </cell>
          <cell r="D119">
            <v>0</v>
          </cell>
          <cell r="E119" t="e">
            <v>#REF!</v>
          </cell>
          <cell r="F119" t="e">
            <v>#REF!</v>
          </cell>
          <cell r="G119" t="e">
            <v>#REF!</v>
          </cell>
          <cell r="H119" t="e">
            <v>#REF!</v>
          </cell>
          <cell r="I119" t="e">
            <v>#REF!</v>
          </cell>
          <cell r="J119" t="e">
            <v>#REF!</v>
          </cell>
          <cell r="K119" t="e">
            <v>#REF!</v>
          </cell>
          <cell r="L119" t="e">
            <v>#REF!</v>
          </cell>
          <cell r="M119" t="e">
            <v>#REF!</v>
          </cell>
          <cell r="N119" t="e">
            <v>#REF!</v>
          </cell>
          <cell r="O119" t="e">
            <v>#REF!</v>
          </cell>
        </row>
        <row r="120">
          <cell r="B120" t="str">
            <v>实销完成</v>
          </cell>
          <cell r="C120" t="e">
            <v>#REF!</v>
          </cell>
          <cell r="D120">
            <v>0</v>
          </cell>
          <cell r="E120" t="e">
            <v>#REF!</v>
          </cell>
          <cell r="F120" t="e">
            <v>#REF!</v>
          </cell>
          <cell r="G120" t="e">
            <v>#REF!</v>
          </cell>
          <cell r="H120" t="e">
            <v>#REF!</v>
          </cell>
          <cell r="I120" t="e">
            <v>#REF!</v>
          </cell>
          <cell r="J120" t="e">
            <v>#REF!</v>
          </cell>
          <cell r="K120" t="e">
            <v>#REF!</v>
          </cell>
          <cell r="L120" t="e">
            <v>#REF!</v>
          </cell>
          <cell r="M120" t="e">
            <v>#REF!</v>
          </cell>
          <cell r="N120" t="e">
            <v>#REF!</v>
          </cell>
          <cell r="O120" t="e">
            <v>#REF!</v>
          </cell>
        </row>
        <row r="121">
          <cell r="B121" t="str">
            <v>GMV完成</v>
          </cell>
          <cell r="C121" t="e">
            <v>#REF!</v>
          </cell>
          <cell r="D121">
            <v>0</v>
          </cell>
          <cell r="E121" t="e">
            <v>#REF!</v>
          </cell>
          <cell r="F121" t="e">
            <v>#REF!</v>
          </cell>
          <cell r="G121" t="e">
            <v>#REF!</v>
          </cell>
          <cell r="H121" t="e">
            <v>#REF!</v>
          </cell>
          <cell r="I121" t="e">
            <v>#REF!</v>
          </cell>
          <cell r="J121" t="e">
            <v>#REF!</v>
          </cell>
          <cell r="K121" t="e">
            <v>#REF!</v>
          </cell>
          <cell r="L121" t="e">
            <v>#REF!</v>
          </cell>
          <cell r="M121" t="e">
            <v>#REF!</v>
          </cell>
          <cell r="N121" t="e">
            <v>#REF!</v>
          </cell>
          <cell r="O121" t="e">
            <v>#REF!</v>
          </cell>
        </row>
        <row r="122">
          <cell r="B122" t="str">
            <v>GSV完成</v>
          </cell>
          <cell r="C122" t="e">
            <v>#REF!</v>
          </cell>
          <cell r="D122">
            <v>0</v>
          </cell>
          <cell r="E122" t="e">
            <v>#REF!</v>
          </cell>
          <cell r="F122" t="e">
            <v>#REF!</v>
          </cell>
          <cell r="G122" t="e">
            <v>#REF!</v>
          </cell>
          <cell r="H122" t="e">
            <v>#REF!</v>
          </cell>
          <cell r="I122" t="e">
            <v>#REF!</v>
          </cell>
          <cell r="J122" t="e">
            <v>#REF!</v>
          </cell>
          <cell r="K122" t="e">
            <v>#REF!</v>
          </cell>
          <cell r="L122" t="e">
            <v>#REF!</v>
          </cell>
          <cell r="M122" t="e">
            <v>#REF!</v>
          </cell>
          <cell r="N122" t="e">
            <v>#REF!</v>
          </cell>
          <cell r="O122" t="e">
            <v>#REF!</v>
          </cell>
        </row>
        <row r="123">
          <cell r="B123" t="str">
            <v>退款率</v>
          </cell>
          <cell r="C123" t="e">
            <v>#REF!</v>
          </cell>
          <cell r="D123" t="e">
            <v>#DIV/0!</v>
          </cell>
          <cell r="E123" t="e">
            <v>#REF!</v>
          </cell>
          <cell r="F123" t="e">
            <v>#REF!</v>
          </cell>
          <cell r="G123" t="e">
            <v>#REF!</v>
          </cell>
          <cell r="H123" t="e">
            <v>#REF!</v>
          </cell>
          <cell r="I123" t="e">
            <v>#REF!</v>
          </cell>
          <cell r="J123" t="e">
            <v>#REF!</v>
          </cell>
          <cell r="K123" t="e">
            <v>#REF!</v>
          </cell>
          <cell r="L123" t="e">
            <v>#REF!</v>
          </cell>
          <cell r="M123" t="e">
            <v>#REF!</v>
          </cell>
          <cell r="N123" t="e">
            <v>#REF!</v>
          </cell>
          <cell r="O123" t="e">
            <v>#REF!</v>
          </cell>
        </row>
        <row r="124">
          <cell r="B124" t="str">
            <v>退货率</v>
          </cell>
          <cell r="C124" t="e">
            <v>#REF!</v>
          </cell>
          <cell r="D124" t="e">
            <v>#DIV/0!</v>
          </cell>
          <cell r="E124" t="e">
            <v>#REF!</v>
          </cell>
          <cell r="F124" t="e">
            <v>#REF!</v>
          </cell>
          <cell r="G124" t="e">
            <v>#REF!</v>
          </cell>
          <cell r="H124" t="e">
            <v>#REF!</v>
          </cell>
          <cell r="I124" t="e">
            <v>#REF!</v>
          </cell>
          <cell r="J124" t="e">
            <v>#REF!</v>
          </cell>
          <cell r="K124" t="e">
            <v>#REF!</v>
          </cell>
          <cell r="L124" t="e">
            <v>#REF!</v>
          </cell>
          <cell r="M124" t="e">
            <v>#REF!</v>
          </cell>
          <cell r="N124" t="e">
            <v>#REF!</v>
          </cell>
          <cell r="O124" t="e">
            <v>#REF!</v>
          </cell>
        </row>
        <row r="125">
          <cell r="B125" t="str">
            <v>利润率</v>
          </cell>
          <cell r="C125" t="e">
            <v>#REF!</v>
          </cell>
          <cell r="D125" t="e">
            <v>#DIV/0!</v>
          </cell>
          <cell r="E125" t="e">
            <v>#REF!</v>
          </cell>
          <cell r="F125" t="e">
            <v>#REF!</v>
          </cell>
          <cell r="G125" t="e">
            <v>#REF!</v>
          </cell>
          <cell r="H125" t="e">
            <v>#REF!</v>
          </cell>
          <cell r="I125" t="e">
            <v>#REF!</v>
          </cell>
          <cell r="J125" t="e">
            <v>#REF!</v>
          </cell>
          <cell r="K125" t="e">
            <v>#REF!</v>
          </cell>
          <cell r="L125" t="e">
            <v>#REF!</v>
          </cell>
          <cell r="M125" t="e">
            <v>#REF!</v>
          </cell>
          <cell r="N125" t="e">
            <v>#REF!</v>
          </cell>
          <cell r="O125" t="e">
            <v>#REF!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总目标"/>
      <sheetName val="江凯伦"/>
      <sheetName val="陈敏华--作废"/>
      <sheetName val="敏华新"/>
      <sheetName val="包家豪"/>
      <sheetName val="杨皓"/>
      <sheetName val="陈欣诺"/>
      <sheetName val="林梓蕾"/>
      <sheetName val="周度汇总分析报告"/>
      <sheetName val="m"/>
      <sheetName val="mu"/>
      <sheetName val="muz"/>
      <sheetName val="muzo"/>
      <sheetName val="muzon"/>
      <sheetName val="muzong"/>
      <sheetName val="muzongb"/>
      <sheetName val="muzongbi"/>
      <sheetName val="muzongbia"/>
      <sheetName val="muzongbiao"/>
      <sheetName val="总"/>
      <sheetName val="总目"/>
      <sheetName val="mi"/>
      <sheetName val="min"/>
      <sheetName val="minh"/>
      <sheetName val="minhu"/>
      <sheetName val="minhua"/>
      <sheetName val="敏华"/>
      <sheetName val="敏华x"/>
      <sheetName val="敏华xi"/>
      <sheetName val="敏华xin"/>
    </sheetNames>
    <sheetDataSet>
      <sheetData sheetId="0">
        <row r="18">
          <cell r="B18">
            <v>622242.554098361</v>
          </cell>
          <cell r="C18">
            <v>926202.855737705</v>
          </cell>
          <cell r="D18">
            <v>708996.270491803</v>
          </cell>
          <cell r="E18">
            <v>720242.50204918</v>
          </cell>
          <cell r="F18">
            <v>690073.450819672</v>
          </cell>
          <cell r="G18">
            <v>596995.204918033</v>
          </cell>
          <cell r="H18">
            <v>773183.927254098</v>
          </cell>
          <cell r="I18">
            <v>743318.084016393</v>
          </cell>
          <cell r="J18">
            <v>721062.795081967</v>
          </cell>
          <cell r="K18">
            <v>697802.704918033</v>
          </cell>
          <cell r="L18">
            <v>721062.795081967</v>
          </cell>
          <cell r="M18">
            <v>471239.131147541</v>
          </cell>
        </row>
        <row r="19">
          <cell r="C19">
            <v>1166041.2</v>
          </cell>
          <cell r="D19">
            <v>205547</v>
          </cell>
          <cell r="E19">
            <v>145330.51</v>
          </cell>
          <cell r="F19">
            <v>153072.16</v>
          </cell>
        </row>
        <row r="20">
          <cell r="D20">
            <v>152916.4</v>
          </cell>
          <cell r="E20">
            <v>200009.75</v>
          </cell>
        </row>
        <row r="21">
          <cell r="D21">
            <v>174188.06</v>
          </cell>
          <cell r="E21">
            <v>187068.81</v>
          </cell>
        </row>
        <row r="22">
          <cell r="D22">
            <v>142922.72</v>
          </cell>
          <cell r="E22">
            <v>220118.58</v>
          </cell>
        </row>
        <row r="23">
          <cell r="E23">
            <v>164036.38</v>
          </cell>
        </row>
        <row r="31">
          <cell r="B31">
            <v>249399.554098361</v>
          </cell>
          <cell r="C31">
            <v>359988.363934426</v>
          </cell>
          <cell r="D31">
            <v>283015.081967213</v>
          </cell>
          <cell r="E31">
            <v>292149.336065573</v>
          </cell>
          <cell r="F31">
            <v>251744.803278688</v>
          </cell>
          <cell r="G31">
            <v>343899.516393443</v>
          </cell>
          <cell r="H31">
            <v>432694.442622951</v>
          </cell>
          <cell r="I31">
            <v>416424.590163934</v>
          </cell>
          <cell r="J31">
            <v>396103.770491803</v>
          </cell>
          <cell r="K31">
            <v>385857.049180328</v>
          </cell>
          <cell r="L31">
            <v>398718.950819672</v>
          </cell>
          <cell r="M31">
            <v>262747.868852459</v>
          </cell>
        </row>
        <row r="32">
          <cell r="F32">
            <v>33154.43</v>
          </cell>
        </row>
        <row r="33">
          <cell r="F33">
            <v>95210.94</v>
          </cell>
        </row>
        <row r="34">
          <cell r="F34">
            <v>87149.71</v>
          </cell>
        </row>
        <row r="35">
          <cell r="F35">
            <v>95706.53</v>
          </cell>
        </row>
        <row r="44">
          <cell r="B44">
            <v>372843</v>
          </cell>
          <cell r="C44">
            <v>566214.491803279</v>
          </cell>
          <cell r="D44">
            <v>425981.18852459</v>
          </cell>
          <cell r="E44">
            <v>428093.165983607</v>
          </cell>
          <cell r="F44">
            <v>438328.647540984</v>
          </cell>
          <cell r="G44">
            <v>376625.606557377</v>
          </cell>
          <cell r="H44">
            <v>516638.599385246</v>
          </cell>
          <cell r="I44">
            <v>499972.838114754</v>
          </cell>
          <cell r="J44">
            <v>490032.5</v>
          </cell>
          <cell r="K44">
            <v>474225</v>
          </cell>
          <cell r="L44">
            <v>490032.5</v>
          </cell>
          <cell r="M44">
            <v>318392.868852459</v>
          </cell>
        </row>
        <row r="45">
          <cell r="F45">
            <v>100423.98</v>
          </cell>
        </row>
        <row r="46">
          <cell r="F46">
            <v>159761.43</v>
          </cell>
        </row>
        <row r="47">
          <cell r="F47">
            <v>176058.01</v>
          </cell>
        </row>
        <row r="48">
          <cell r="F48">
            <v>157424.67</v>
          </cell>
        </row>
        <row r="58">
          <cell r="B58">
            <v>278839</v>
          </cell>
          <cell r="C58">
            <v>672748.786885246</v>
          </cell>
          <cell r="D58">
            <v>528274.180327869</v>
          </cell>
          <cell r="E58">
            <v>526052.975409836</v>
          </cell>
          <cell r="F58">
            <v>511352.459016394</v>
          </cell>
          <cell r="G58">
            <v>451240.573770492</v>
          </cell>
          <cell r="H58">
            <v>540132.311475409</v>
          </cell>
          <cell r="I58">
            <v>525321.147540984</v>
          </cell>
          <cell r="J58">
            <v>507300.262295082</v>
          </cell>
          <cell r="K58">
            <v>494517.049180328</v>
          </cell>
          <cell r="L58">
            <v>507296.196721311</v>
          </cell>
          <cell r="M58">
            <v>361615.508196722</v>
          </cell>
        </row>
        <row r="59">
          <cell r="B59">
            <v>229311.59</v>
          </cell>
          <cell r="C59">
            <v>770766.4</v>
          </cell>
          <cell r="D59">
            <v>149567</v>
          </cell>
          <cell r="E59">
            <v>58296.43</v>
          </cell>
        </row>
        <row r="60">
          <cell r="D60">
            <v>95816.8</v>
          </cell>
          <cell r="E60">
            <v>97059.95</v>
          </cell>
        </row>
        <row r="61">
          <cell r="D61">
            <v>70227.04</v>
          </cell>
          <cell r="E61">
            <v>76035.36</v>
          </cell>
        </row>
        <row r="62">
          <cell r="D62">
            <v>52419.95</v>
          </cell>
          <cell r="E62">
            <v>87855.34</v>
          </cell>
        </row>
        <row r="63">
          <cell r="E63">
            <v>43883.05</v>
          </cell>
        </row>
        <row r="70">
          <cell r="B70">
            <v>34481</v>
          </cell>
          <cell r="C70">
            <v>86791.2971311476</v>
          </cell>
          <cell r="D70">
            <v>133954.856557377</v>
          </cell>
          <cell r="E70">
            <v>141243.464139344</v>
          </cell>
          <cell r="F70">
            <v>195306.823770492</v>
          </cell>
          <cell r="G70">
            <v>155693.126331967</v>
          </cell>
          <cell r="H70">
            <v>213216.284836066</v>
          </cell>
          <cell r="I70">
            <v>206338.340163934</v>
          </cell>
          <cell r="J70">
            <v>195186.830942623</v>
          </cell>
          <cell r="K70">
            <v>187961.834016393</v>
          </cell>
          <cell r="L70">
            <v>195186.830942623</v>
          </cell>
          <cell r="M70">
            <v>98770.5102459016</v>
          </cell>
        </row>
        <row r="71">
          <cell r="C71">
            <v>52452.23</v>
          </cell>
          <cell r="D71">
            <v>-2072.67</v>
          </cell>
          <cell r="E71">
            <v>-1579</v>
          </cell>
        </row>
        <row r="72">
          <cell r="D72">
            <v>9339.48</v>
          </cell>
          <cell r="E72">
            <v>17659.06</v>
          </cell>
        </row>
        <row r="73">
          <cell r="D73">
            <v>-159.41</v>
          </cell>
          <cell r="E73">
            <v>15625.48</v>
          </cell>
        </row>
        <row r="74">
          <cell r="D74">
            <v>7061.15</v>
          </cell>
          <cell r="E74">
            <v>6285.12</v>
          </cell>
        </row>
        <row r="75">
          <cell r="E75">
            <v>11832.22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133"/>
  <sheetViews>
    <sheetView workbookViewId="0">
      <selection activeCell="L5" sqref="L5:N5"/>
    </sheetView>
  </sheetViews>
  <sheetFormatPr defaultColWidth="8.88888888888889" defaultRowHeight="15.6"/>
  <cols>
    <col min="1" max="1" width="14.1111111111111" style="64" customWidth="1"/>
    <col min="2" max="2" width="20.8888888888889" style="64" customWidth="1"/>
    <col min="3" max="14" width="15.1111111111111" style="64" customWidth="1"/>
    <col min="15" max="15" width="20.1111111111111" style="64" customWidth="1"/>
    <col min="16" max="16" width="15.6666666666667" style="64"/>
    <col min="17" max="17" width="17" style="64"/>
    <col min="18" max="65" width="15.6666666666667" style="64"/>
    <col min="66" max="66" width="15.6666666666667" style="64" customWidth="1"/>
    <col min="67" max="67" width="15.6666666666667" style="64" hidden="1" customWidth="1"/>
    <col min="68" max="71" width="14.1111111111111" style="64" hidden="1" customWidth="1"/>
    <col min="72" max="72" width="15.2222222222222" style="64" hidden="1" customWidth="1"/>
    <col min="73" max="80" width="8.88888888888889" style="64" hidden="1" customWidth="1"/>
    <col min="81" max="82" width="15.6666666666667" style="64" hidden="1" customWidth="1"/>
    <col min="83" max="84" width="8.88888888888889" style="64" hidden="1" customWidth="1"/>
    <col min="85" max="16384" width="8.88888888888889" style="64"/>
  </cols>
  <sheetData>
    <row r="1" s="64" customFormat="1" ht="17.4" spans="1:83">
      <c r="A1" s="67" t="str">
        <f>'[1]特别隐藏版（勿动、勿看）'!A1</f>
        <v>2026年度WB进度</v>
      </c>
      <c r="B1" s="67">
        <f>'[1]特别隐藏版（勿动、勿看）'!B1</f>
        <v>0</v>
      </c>
      <c r="C1" s="67">
        <f>'[1]特别隐藏版（勿动、勿看）'!C1</f>
        <v>0</v>
      </c>
      <c r="D1" s="67">
        <f>'[1]特别隐藏版（勿动、勿看）'!D1</f>
        <v>0</v>
      </c>
      <c r="E1" s="67">
        <f>'[1]特别隐藏版（勿动、勿看）'!E1</f>
        <v>0</v>
      </c>
      <c r="F1" s="67">
        <f>'[1]特别隐藏版（勿动、勿看）'!F1</f>
        <v>0</v>
      </c>
      <c r="G1" s="67">
        <f>'[1]特别隐藏版（勿动、勿看）'!G1</f>
        <v>0</v>
      </c>
      <c r="H1" s="67">
        <f>'[1]特别隐藏版（勿动、勿看）'!H1</f>
        <v>0</v>
      </c>
      <c r="I1" s="67">
        <f>'[1]特别隐藏版（勿动、勿看）'!I1</f>
        <v>0</v>
      </c>
      <c r="J1" s="67">
        <f>'[1]特别隐藏版（勿动、勿看）'!J1</f>
        <v>0</v>
      </c>
      <c r="K1" s="67">
        <f>'[1]特别隐藏版（勿动、勿看）'!K1</f>
        <v>0</v>
      </c>
      <c r="L1" s="67">
        <f>'[1]特别隐藏版（勿动、勿看）'!L1</f>
        <v>0</v>
      </c>
      <c r="M1" s="67">
        <f>'[1]特别隐藏版（勿动、勿看）'!M1</f>
        <v>0</v>
      </c>
      <c r="N1" s="67">
        <f>'[1]特别隐藏版（勿动、勿看）'!N1</f>
        <v>0</v>
      </c>
      <c r="O1" s="67">
        <f>'[1]特别隐藏版（勿动、勿看）'!O1</f>
        <v>0</v>
      </c>
      <c r="BP1" s="83"/>
      <c r="BQ1" s="83"/>
      <c r="BR1" s="83"/>
      <c r="BS1" s="83"/>
      <c r="BT1" s="83"/>
      <c r="BU1" s="83"/>
      <c r="BV1" s="83"/>
      <c r="BW1" s="83"/>
      <c r="BX1" s="83"/>
      <c r="BY1" s="83"/>
      <c r="BZ1" s="83"/>
      <c r="CA1" s="83"/>
      <c r="CB1" s="83"/>
      <c r="CC1" s="110"/>
      <c r="CD1" s="110"/>
      <c r="CE1" s="110"/>
    </row>
    <row r="2" s="64" customFormat="1" spans="1:83">
      <c r="A2" s="67" t="str">
        <f>'[1]特别隐藏版（勿动、勿看）'!A2</f>
        <v>项目</v>
      </c>
      <c r="B2" s="67" t="str">
        <f>'[1]特别隐藏版（勿动、勿看）'!B2</f>
        <v>月度</v>
      </c>
      <c r="C2" s="2" t="str">
        <f>'[1]特别隐藏版（勿动、勿看）'!C2</f>
        <v>2月</v>
      </c>
      <c r="D2" s="2" t="str">
        <f>'[1]特别隐藏版（勿动、勿看）'!D2</f>
        <v>3月</v>
      </c>
      <c r="E2" s="2" t="str">
        <f>'[1]特别隐藏版（勿动、勿看）'!E2</f>
        <v>4月</v>
      </c>
      <c r="F2" s="3" t="str">
        <f>'[1]特别隐藏版（勿动、勿看）'!F2</f>
        <v>5月</v>
      </c>
      <c r="G2" s="3" t="str">
        <f>'[1]特别隐藏版（勿动、勿看）'!G2</f>
        <v>6月</v>
      </c>
      <c r="H2" s="3" t="str">
        <f>'[1]特别隐藏版（勿动、勿看）'!H2</f>
        <v>7月</v>
      </c>
      <c r="I2" s="25" t="str">
        <f>'[1]特别隐藏版（勿动、勿看）'!I2</f>
        <v>8月</v>
      </c>
      <c r="J2" s="25" t="str">
        <f>'[1]特别隐藏版（勿动、勿看）'!J2</f>
        <v>9月</v>
      </c>
      <c r="K2" s="25" t="str">
        <f>'[1]特别隐藏版（勿动、勿看）'!K2</f>
        <v>10月</v>
      </c>
      <c r="L2" s="26" t="str">
        <f>'[1]特别隐藏版（勿动、勿看）'!L2</f>
        <v>11月</v>
      </c>
      <c r="M2" s="26" t="str">
        <f>'[1]特别隐藏版（勿动、勿看）'!M2</f>
        <v>12月</v>
      </c>
      <c r="N2" s="26" t="str">
        <f>'[1]特别隐藏版（勿动、勿看）'!N2</f>
        <v>1月</v>
      </c>
      <c r="O2" s="67" t="str">
        <f>'[1]特别隐藏版（勿动、勿看）'!O2</f>
        <v>汇总</v>
      </c>
      <c r="BP2" s="67"/>
      <c r="BQ2" s="2"/>
      <c r="BR2" s="2"/>
      <c r="BS2" s="2"/>
      <c r="BT2" s="3"/>
      <c r="BU2" s="3"/>
      <c r="BV2" s="3"/>
      <c r="BW2" s="25"/>
      <c r="BX2" s="25"/>
      <c r="BY2" s="25"/>
      <c r="BZ2" s="26"/>
      <c r="CA2" s="26"/>
      <c r="CB2" s="26"/>
      <c r="CC2" s="110"/>
      <c r="CD2" s="110"/>
      <c r="CE2" s="110"/>
    </row>
    <row r="3" s="64" customFormat="1" spans="1:83">
      <c r="A3" s="67">
        <f>'[1]特别隐藏版（勿动、勿看）'!A3</f>
        <v>0</v>
      </c>
      <c r="B3" s="67" t="str">
        <f>'[1]特别隐藏版（勿动、勿看）'!B3</f>
        <v>季度</v>
      </c>
      <c r="C3" s="2" t="str">
        <f>'[1]特别隐藏版（勿动、勿看）'!C3</f>
        <v>Q1</v>
      </c>
      <c r="D3" s="2">
        <f>'[1]特别隐藏版（勿动、勿看）'!D3</f>
        <v>0</v>
      </c>
      <c r="E3" s="2">
        <f>'[1]特别隐藏版（勿动、勿看）'!E3</f>
        <v>0</v>
      </c>
      <c r="F3" s="3" t="str">
        <f>'[1]特别隐藏版（勿动、勿看）'!F3</f>
        <v>Q2</v>
      </c>
      <c r="G3" s="3">
        <f>'[1]特别隐藏版（勿动、勿看）'!G3</f>
        <v>0</v>
      </c>
      <c r="H3" s="3">
        <f>'[1]特别隐藏版（勿动、勿看）'!H3</f>
        <v>0</v>
      </c>
      <c r="I3" s="25" t="str">
        <f>'[1]特别隐藏版（勿动、勿看）'!I3</f>
        <v>Q3</v>
      </c>
      <c r="J3" s="25">
        <f>'[1]特别隐藏版（勿动、勿看）'!J3</f>
        <v>0</v>
      </c>
      <c r="K3" s="25">
        <f>'[1]特别隐藏版（勿动、勿看）'!K3</f>
        <v>0</v>
      </c>
      <c r="L3" s="26" t="str">
        <f>'[1]特别隐藏版（勿动、勿看）'!L3</f>
        <v>Q4</v>
      </c>
      <c r="M3" s="26">
        <f>'[1]特别隐藏版（勿动、勿看）'!M3</f>
        <v>0</v>
      </c>
      <c r="N3" s="26">
        <f>'[1]特别隐藏版（勿动、勿看）'!N3</f>
        <v>0</v>
      </c>
      <c r="O3" s="67">
        <f>'[1]特别隐藏版（勿动、勿看）'!O3</f>
        <v>0</v>
      </c>
      <c r="BP3" s="84"/>
      <c r="BQ3" s="84"/>
      <c r="BR3" s="84"/>
      <c r="BS3" s="84"/>
      <c r="BT3" s="84"/>
      <c r="BU3" s="84"/>
      <c r="BV3" s="84"/>
      <c r="BW3" s="84"/>
      <c r="BX3" s="84"/>
      <c r="BY3" s="84"/>
      <c r="BZ3" s="84"/>
      <c r="CA3" s="84"/>
      <c r="CB3" s="84"/>
      <c r="CC3" s="110"/>
      <c r="CD3" s="110"/>
      <c r="CE3" s="110"/>
    </row>
    <row r="4" s="64" customFormat="1" spans="1:83">
      <c r="A4" s="67">
        <f>'[1]特别隐藏版（勿动、勿看）'!A4</f>
        <v>0</v>
      </c>
      <c r="B4" s="67" t="str">
        <f>'[1]特别隐藏版（勿动、勿看）'!B4</f>
        <v>季度财报</v>
      </c>
      <c r="C4" s="4">
        <f>'[1]2026年度男装汇总分析'!C4</f>
        <v>935295.04</v>
      </c>
      <c r="D4" s="4">
        <f>'[1]特别隐藏版（勿动、勿看）'!D4</f>
        <v>0</v>
      </c>
      <c r="E4" s="4">
        <f>'[1]特别隐藏版（勿动、勿看）'!E4</f>
        <v>0</v>
      </c>
      <c r="F4" s="68">
        <f>'[1]2026年度男装汇总分析'!F4</f>
        <v>636263.828053184</v>
      </c>
      <c r="G4" s="68">
        <f>'[1]特别隐藏版（勿动、勿看）'!G4</f>
        <v>0</v>
      </c>
      <c r="H4" s="68">
        <f>'[1]特别隐藏版（勿动、勿看）'!H4</f>
        <v>0</v>
      </c>
      <c r="I4" s="77">
        <f>'[1]2026年度男装汇总分析'!I4</f>
        <v>0</v>
      </c>
      <c r="J4" s="77">
        <f>'[1]特别隐藏版（勿动、勿看）'!J4</f>
        <v>0</v>
      </c>
      <c r="K4" s="77">
        <f>'[1]特别隐藏版（勿动、勿看）'!K4</f>
        <v>0</v>
      </c>
      <c r="L4" s="78">
        <f>'[1]2026年度男装汇总分析'!L4</f>
        <v>0</v>
      </c>
      <c r="M4" s="78">
        <f>'[1]特别隐藏版（勿动、勿看）'!M4</f>
        <v>0</v>
      </c>
      <c r="N4" s="78">
        <f>'[1]特别隐藏版（勿动、勿看）'!N4</f>
        <v>0</v>
      </c>
      <c r="O4" s="67">
        <f>'[1]特别隐藏版（勿动、勿看）'!O4</f>
        <v>0</v>
      </c>
      <c r="BP4" s="84"/>
      <c r="BQ4" s="84"/>
      <c r="BR4" s="84"/>
      <c r="BS4" s="84"/>
      <c r="BT4" s="84"/>
      <c r="BU4" s="84"/>
      <c r="BV4" s="84"/>
      <c r="BW4" s="84"/>
      <c r="BX4" s="84"/>
      <c r="BY4" s="84"/>
      <c r="BZ4" s="84"/>
      <c r="CA4" s="84"/>
      <c r="CB4" s="84"/>
      <c r="CC4" s="110"/>
      <c r="CD4" s="110"/>
      <c r="CE4" s="110"/>
    </row>
    <row r="5" s="65" customFormat="1" spans="1:83">
      <c r="A5" s="5">
        <f>'[1]特别隐藏版（勿动、勿看）'!A5</f>
        <v>0</v>
      </c>
      <c r="B5" s="5" t="str">
        <f>'[1]特别隐藏版（勿动、勿看）'!B5</f>
        <v>季度财报进度</v>
      </c>
      <c r="C5" s="6">
        <f>'[1]2026年度男装汇总分析'!C5</f>
        <v>0.725215936135818</v>
      </c>
      <c r="D5" s="6">
        <f>'[1]特别隐藏版（勿动、勿看）'!D5</f>
        <v>0</v>
      </c>
      <c r="E5" s="6">
        <f>'[1]特别隐藏版（勿动、勿看）'!E5</f>
        <v>0</v>
      </c>
      <c r="F5" s="7">
        <f>'[1]2026年度男装汇总分析'!F5</f>
        <v>0.382564185654428</v>
      </c>
      <c r="G5" s="7">
        <f>'[1]特别隐藏版（勿动、勿看）'!G5</f>
        <v>0</v>
      </c>
      <c r="H5" s="7">
        <f>'[1]特别隐藏版（勿动、勿看）'!H5</f>
        <v>0</v>
      </c>
      <c r="I5" s="27">
        <f>'[1]2026年度男装汇总分析'!I5</f>
        <v>0</v>
      </c>
      <c r="J5" s="27">
        <f>'[1]特别隐藏版（勿动、勿看）'!J5</f>
        <v>0</v>
      </c>
      <c r="K5" s="27">
        <f>'[1]特别隐藏版（勿动、勿看）'!K5</f>
        <v>0</v>
      </c>
      <c r="L5" s="28">
        <f>'[1]2026年度男装汇总分析'!L5</f>
        <v>0</v>
      </c>
      <c r="M5" s="28">
        <f>'[1]特别隐藏版（勿动、勿看）'!M5</f>
        <v>0</v>
      </c>
      <c r="N5" s="28">
        <f>'[1]特别隐藏版（勿动、勿看）'!N5</f>
        <v>0</v>
      </c>
      <c r="O5" s="5">
        <f>'[1]特别隐藏版（勿动、勿看）'!O5</f>
        <v>0</v>
      </c>
      <c r="P5" s="79"/>
      <c r="Q5" s="79"/>
      <c r="BP5" s="84"/>
      <c r="BQ5" s="85"/>
      <c r="BR5" s="85"/>
      <c r="BS5" s="85"/>
      <c r="BT5" s="85"/>
      <c r="BU5" s="85"/>
      <c r="BV5" s="85"/>
      <c r="BW5" s="85"/>
      <c r="BX5" s="85"/>
      <c r="BY5" s="85"/>
      <c r="BZ5" s="85"/>
      <c r="CA5" s="85"/>
      <c r="CB5" s="85"/>
      <c r="CC5" s="110"/>
      <c r="CD5" s="110"/>
      <c r="CE5" s="110"/>
    </row>
    <row r="6" s="64" customFormat="1" ht="31.2" spans="1:83">
      <c r="A6" s="69" t="str">
        <f>'[1]特别隐藏版（勿动、勿看）'!A6</f>
        <v>目标完成情况</v>
      </c>
      <c r="B6" s="9" t="str">
        <f>'[1]特别隐藏版（勿动、勿看）'!B6</f>
        <v>月度目标
利润（人民币）</v>
      </c>
      <c r="C6" s="10">
        <f>'[1]2026年度男装汇总分析'!C6</f>
        <v>335792.794830819</v>
      </c>
      <c r="D6" s="10">
        <f>'[1]2026年度男装汇总分析'!D6</f>
        <v>495821.970600399</v>
      </c>
      <c r="E6" s="10">
        <f>'[1]2026年度男装汇总分析'!E6</f>
        <v>546265.878674808</v>
      </c>
      <c r="F6" s="10">
        <f>'[1]2026年度男装汇总分析'!F6</f>
        <v>614961.359102038</v>
      </c>
      <c r="G6" s="10">
        <f>'[1]2026年度男装汇总分析'!G6</f>
        <v>531399.518028897</v>
      </c>
      <c r="H6" s="10">
        <f>'[1]2026年度男装汇总分析'!H6</f>
        <v>549112.835296526</v>
      </c>
      <c r="I6" s="10">
        <f>'[1]2026年度男装汇总分析'!I6</f>
        <v>691873.249103936</v>
      </c>
      <c r="J6" s="10">
        <f>'[1]2026年度男装汇总分析'!J6</f>
        <v>669554.757197358</v>
      </c>
      <c r="K6" s="10">
        <f>'[1]2026年度男装汇总分析'!K6</f>
        <v>667313.309995024</v>
      </c>
      <c r="L6" s="10">
        <f>'[1]2026年度男装汇总分析'!L6</f>
        <v>619182.362865127</v>
      </c>
      <c r="M6" s="10">
        <f>'[1]2026年度男装汇总分析'!M6</f>
        <v>639821.774960632</v>
      </c>
      <c r="N6" s="10">
        <f>'[1]2026年度男装汇总分析'!N6</f>
        <v>358899.96389988</v>
      </c>
      <c r="O6" s="29">
        <f>SUM(C6:N6)</f>
        <v>6719999.77455544</v>
      </c>
      <c r="P6" s="80"/>
      <c r="Q6" s="80"/>
      <c r="BP6" s="84"/>
      <c r="BQ6" s="85"/>
      <c r="BR6" s="85"/>
      <c r="BS6" s="85"/>
      <c r="BT6" s="85"/>
      <c r="BU6" s="85"/>
      <c r="BV6" s="85"/>
      <c r="BW6" s="85"/>
      <c r="BX6" s="85"/>
      <c r="BY6" s="85"/>
      <c r="BZ6" s="85"/>
      <c r="CA6" s="85"/>
      <c r="CB6" s="85"/>
      <c r="CC6" s="110"/>
      <c r="CD6" s="110"/>
      <c r="CE6" s="110"/>
    </row>
    <row r="7" s="64" customFormat="1" spans="1:83">
      <c r="A7" s="70">
        <f>'[1]特别隐藏版（勿动、勿看）'!A7</f>
        <v>0</v>
      </c>
      <c r="B7" s="12" t="str">
        <f>'[1]特别隐藏版（勿动、勿看）'!B7</f>
        <v>实际利润（人民币）</v>
      </c>
      <c r="C7" s="13">
        <f>'[1]2026年度男装汇总分析'!C7</f>
        <v>301715.93</v>
      </c>
      <c r="D7" s="13">
        <f>'[1]2026年度男装汇总分析'!D7</f>
        <v>484842.75</v>
      </c>
      <c r="E7" s="13">
        <f>'[1]2026年度男装汇总分析'!E7</f>
        <v>148736.36</v>
      </c>
      <c r="F7" s="13">
        <f>'[1]2026年度男装汇总分析'!F7</f>
        <v>284968.47</v>
      </c>
      <c r="G7" s="13">
        <f>'[1]2026年度男装汇总分析'!G7</f>
        <v>269170.203815175</v>
      </c>
      <c r="H7" s="13">
        <f>'[1]2026年度男装汇总分析'!H7</f>
        <v>82125.1542380092</v>
      </c>
      <c r="I7" s="13">
        <f>'[1]2026年度男装汇总分析'!I7</f>
        <v>0</v>
      </c>
      <c r="J7" s="13">
        <f>'[1]2026年度男装汇总分析'!J7</f>
        <v>0</v>
      </c>
      <c r="K7" s="13">
        <f>'[1]2026年度男装汇总分析'!K7</f>
        <v>0</v>
      </c>
      <c r="L7" s="13">
        <f>'[1]2026年度男装汇总分析'!L7</f>
        <v>0</v>
      </c>
      <c r="M7" s="13">
        <f>'[1]2026年度男装汇总分析'!M7</f>
        <v>0</v>
      </c>
      <c r="N7" s="13">
        <f>'[1]2026年度男装汇总分析'!N7</f>
        <v>0</v>
      </c>
      <c r="O7" s="13">
        <f>SUM(C7:N7)</f>
        <v>1571558.86805318</v>
      </c>
      <c r="P7" s="79"/>
      <c r="Q7" s="82"/>
      <c r="BP7" s="84"/>
      <c r="BQ7" s="85"/>
      <c r="BR7" s="85"/>
      <c r="BS7" s="85"/>
      <c r="BT7" s="85"/>
      <c r="BU7" s="85"/>
      <c r="BV7" s="85"/>
      <c r="BW7" s="85"/>
      <c r="BX7" s="85"/>
      <c r="BY7" s="85"/>
      <c r="BZ7" s="85"/>
      <c r="CA7" s="85"/>
      <c r="CB7" s="85"/>
      <c r="CC7" s="110"/>
      <c r="CD7" s="110"/>
      <c r="CE7" s="110"/>
    </row>
    <row r="8" s="64" customFormat="1" spans="1:83">
      <c r="A8" s="70">
        <f>'[1]特别隐藏版（勿动、勿看）'!A8</f>
        <v>0</v>
      </c>
      <c r="B8" s="67" t="str">
        <f>'[1]特别隐藏版（勿动、勿看）'!B8</f>
        <v>目标完成进度</v>
      </c>
      <c r="C8" s="14">
        <f>C7/C6</f>
        <v>0.898518177413581</v>
      </c>
      <c r="D8" s="14">
        <f t="shared" ref="D8:O8" si="0">D7/D6</f>
        <v>0.977856526633735</v>
      </c>
      <c r="E8" s="14">
        <f t="shared" si="0"/>
        <v>0.272278327837025</v>
      </c>
      <c r="F8" s="14">
        <f t="shared" si="0"/>
        <v>0.463392481140781</v>
      </c>
      <c r="G8" s="14">
        <f t="shared" si="0"/>
        <v>0.506530763922405</v>
      </c>
      <c r="H8" s="14">
        <f t="shared" si="0"/>
        <v>0.14955970605506</v>
      </c>
      <c r="I8" s="14">
        <f t="shared" si="0"/>
        <v>0</v>
      </c>
      <c r="J8" s="14">
        <f t="shared" si="0"/>
        <v>0</v>
      </c>
      <c r="K8" s="14">
        <f t="shared" si="0"/>
        <v>0</v>
      </c>
      <c r="L8" s="14">
        <f t="shared" si="0"/>
        <v>0</v>
      </c>
      <c r="M8" s="14">
        <f t="shared" si="0"/>
        <v>0</v>
      </c>
      <c r="N8" s="14">
        <f t="shared" si="0"/>
        <v>0</v>
      </c>
      <c r="O8" s="14">
        <f t="shared" si="0"/>
        <v>0.233862934639332</v>
      </c>
      <c r="P8" s="79"/>
      <c r="Q8" s="79"/>
      <c r="BP8" s="84"/>
      <c r="BQ8" s="86"/>
      <c r="BR8" s="86"/>
      <c r="BS8" s="86"/>
      <c r="BT8" s="86"/>
      <c r="BU8" s="86"/>
      <c r="BV8" s="86"/>
      <c r="BW8" s="86"/>
      <c r="BX8" s="86"/>
      <c r="BY8" s="86"/>
      <c r="BZ8" s="86"/>
      <c r="CA8" s="86"/>
      <c r="CB8" s="86"/>
      <c r="CC8" s="110"/>
      <c r="CD8" s="110"/>
      <c r="CE8" s="110"/>
    </row>
    <row r="9" s="64" customFormat="1" spans="1:83">
      <c r="A9" s="71">
        <f>'[1]特别隐藏版（勿动、勿看）'!A9</f>
        <v>0</v>
      </c>
      <c r="B9" s="16">
        <f>'[1]特别隐藏版（勿动、勿看）'!B9</f>
        <v>0</v>
      </c>
      <c r="C9" s="17">
        <f>'[1]特别隐藏版（勿动、勿看）'!C9</f>
        <v>0</v>
      </c>
      <c r="D9" s="17">
        <f>'[1]特别隐藏版（勿动、勿看）'!D9</f>
        <v>0</v>
      </c>
      <c r="E9" s="17">
        <f>'[1]特别隐藏版（勿动、勿看）'!E9</f>
        <v>0</v>
      </c>
      <c r="F9" s="17">
        <f>'[1]特别隐藏版（勿动、勿看）'!F9</f>
        <v>0</v>
      </c>
      <c r="G9" s="17">
        <f>'[1]特别隐藏版（勿动、勿看）'!G9</f>
        <v>0</v>
      </c>
      <c r="H9" s="17">
        <f>'[1]特别隐藏版（勿动、勿看）'!H9</f>
        <v>0</v>
      </c>
      <c r="I9" s="17">
        <f>'[1]特别隐藏版（勿动、勿看）'!I9</f>
        <v>0</v>
      </c>
      <c r="J9" s="17">
        <f>'[1]特别隐藏版（勿动、勿看）'!J9</f>
        <v>0</v>
      </c>
      <c r="K9" s="17">
        <f>'[1]特别隐藏版（勿动、勿看）'!K9</f>
        <v>0</v>
      </c>
      <c r="L9" s="17">
        <f>'[1]特别隐藏版（勿动、勿看）'!L9</f>
        <v>0</v>
      </c>
      <c r="M9" s="17">
        <f>'[1]特别隐藏版（勿动、勿看）'!M9</f>
        <v>0</v>
      </c>
      <c r="N9" s="17">
        <f>'[1]特别隐藏版（勿动、勿看）'!N9</f>
        <v>0</v>
      </c>
      <c r="O9" s="30">
        <f>'[1]特别隐藏版（勿动、勿看）'!O9</f>
        <v>0</v>
      </c>
      <c r="P9" s="79"/>
      <c r="Q9" s="79"/>
      <c r="BP9" s="84"/>
      <c r="BQ9" s="86"/>
      <c r="BR9" s="86"/>
      <c r="BS9" s="86"/>
      <c r="BT9" s="86"/>
      <c r="BU9" s="86"/>
      <c r="BV9" s="86"/>
      <c r="BW9" s="86"/>
      <c r="BX9" s="86"/>
      <c r="BY9" s="86"/>
      <c r="BZ9" s="86"/>
      <c r="CA9" s="86"/>
      <c r="CB9" s="86"/>
      <c r="CC9" s="110"/>
      <c r="CD9" s="110"/>
      <c r="CE9" s="110"/>
    </row>
    <row r="10" s="64" customFormat="1" spans="1:83">
      <c r="A10" s="70">
        <f>'[1]特别隐藏版（勿动、勿看）'!A10</f>
        <v>0</v>
      </c>
      <c r="B10" s="67" t="str">
        <f>'[1]特别隐藏版（勿动、勿看）'!B10</f>
        <v>销量目标</v>
      </c>
      <c r="C10" s="72">
        <f>'[1]2026年度男装汇总分析'!C10</f>
        <v>20440</v>
      </c>
      <c r="D10" s="72">
        <f>'[1]2026年度男装汇总分析'!D10</f>
        <v>30070</v>
      </c>
      <c r="E10" s="72">
        <f>'[1]2026年度男装汇总分析'!E10</f>
        <v>33000</v>
      </c>
      <c r="F10" s="72">
        <f>'[1]2026年度男装汇总分析'!F10</f>
        <v>37200</v>
      </c>
      <c r="G10" s="72">
        <f>'[1]2026年度男装汇总分析'!G10</f>
        <v>32100</v>
      </c>
      <c r="H10" s="72">
        <f>'[1]2026年度男装汇总分析'!H10</f>
        <v>33170</v>
      </c>
      <c r="I10" s="72">
        <f>'[1]2026年度男装汇总分析'!I10</f>
        <v>41850</v>
      </c>
      <c r="J10" s="72">
        <f>'[1]2026年度男装汇总分析'!J10</f>
        <v>40500</v>
      </c>
      <c r="K10" s="72">
        <f>'[1]2026年度男装汇总分析'!K10</f>
        <v>40300</v>
      </c>
      <c r="L10" s="72">
        <f>'[1]2026年度男装汇总分析'!L10</f>
        <v>37500</v>
      </c>
      <c r="M10" s="72">
        <f>'[1]2026年度男装汇总分析'!M10</f>
        <v>38750</v>
      </c>
      <c r="N10" s="72">
        <f>'[1]2026年度男装汇总分析'!N10</f>
        <v>21700</v>
      </c>
      <c r="O10" s="31">
        <f>SUM(C10:N10)</f>
        <v>406580</v>
      </c>
      <c r="P10" s="79"/>
      <c r="Q10" s="79"/>
      <c r="BP10" s="84"/>
      <c r="BQ10" s="84"/>
      <c r="BR10" s="84"/>
      <c r="BS10" s="84"/>
      <c r="BT10" s="84"/>
      <c r="BU10" s="84"/>
      <c r="BV10" s="84"/>
      <c r="BW10" s="84"/>
      <c r="BX10" s="84"/>
      <c r="BY10" s="84"/>
      <c r="BZ10" s="84"/>
      <c r="CA10" s="84"/>
      <c r="CB10" s="84"/>
      <c r="CC10" s="100"/>
      <c r="CD10" s="100"/>
      <c r="CE10" s="100"/>
    </row>
    <row r="11" s="64" customFormat="1" spans="1:83">
      <c r="A11" s="70">
        <f>'[1]特别隐藏版（勿动、勿看）'!A11</f>
        <v>0</v>
      </c>
      <c r="B11" s="12" t="str">
        <f>'[1]特别隐藏版（勿动、勿看）'!B11</f>
        <v>销量完成</v>
      </c>
      <c r="C11" s="12">
        <f>'[1]2026年度男装汇总分析'!C11</f>
        <v>20744</v>
      </c>
      <c r="D11" s="12">
        <f>'[1]2026年度男装汇总分析'!D11</f>
        <v>35092</v>
      </c>
      <c r="E11" s="12">
        <f>'[1]2026年度男装汇总分析'!E11</f>
        <v>21224</v>
      </c>
      <c r="F11" s="12">
        <f>'[1]2026年度男装汇总分析'!F11</f>
        <v>27150</v>
      </c>
      <c r="G11" s="12">
        <f>'[1]2026年度男装汇总分析'!G11</f>
        <v>16959</v>
      </c>
      <c r="H11" s="12">
        <f>'[1]2026年度男装汇总分析'!H11</f>
        <v>4091</v>
      </c>
      <c r="I11" s="12">
        <f>'[1]2026年度男装汇总分析'!I11</f>
        <v>0</v>
      </c>
      <c r="J11" s="12">
        <f>'[1]2026年度男装汇总分析'!J11</f>
        <v>0</v>
      </c>
      <c r="K11" s="12">
        <f>'[1]2026年度男装汇总分析'!K11</f>
        <v>0</v>
      </c>
      <c r="L11" s="12">
        <f>'[1]2026年度男装汇总分析'!L11</f>
        <v>0</v>
      </c>
      <c r="M11" s="12">
        <f>'[1]2026年度男装汇总分析'!M11</f>
        <v>0</v>
      </c>
      <c r="N11" s="12">
        <f>'[1]2026年度男装汇总分析'!N11</f>
        <v>0</v>
      </c>
      <c r="O11" s="12">
        <f>SUM(C11:N11)</f>
        <v>125260</v>
      </c>
      <c r="P11" s="65"/>
      <c r="BP11" s="84"/>
      <c r="BQ11" s="84"/>
      <c r="BR11" s="84"/>
      <c r="BS11" s="84"/>
      <c r="BT11" s="84"/>
      <c r="BU11" s="84"/>
      <c r="BV11" s="84"/>
      <c r="BW11" s="84"/>
      <c r="BX11" s="84"/>
      <c r="BY11" s="84"/>
      <c r="BZ11" s="84"/>
      <c r="CA11" s="84"/>
      <c r="CB11" s="84"/>
      <c r="CC11" s="100"/>
      <c r="CD11" s="100"/>
      <c r="CE11" s="100"/>
    </row>
    <row r="12" s="64" customFormat="1" spans="1:83">
      <c r="A12" s="70">
        <f>'[1]特别隐藏版（勿动、勿看）'!A12</f>
        <v>0</v>
      </c>
      <c r="B12" s="67" t="str">
        <f>'[1]特别隐藏版（勿动、勿看）'!B12</f>
        <v>销量完成进度</v>
      </c>
      <c r="C12" s="14">
        <f t="shared" ref="C12:O12" si="1">C11/C10</f>
        <v>1.01487279843444</v>
      </c>
      <c r="D12" s="14">
        <f t="shared" si="1"/>
        <v>1.16701030927835</v>
      </c>
      <c r="E12" s="14">
        <f t="shared" si="1"/>
        <v>0.643151515151515</v>
      </c>
      <c r="F12" s="14">
        <f t="shared" si="1"/>
        <v>0.729838709677419</v>
      </c>
      <c r="G12" s="14">
        <f t="shared" si="1"/>
        <v>0.528317757009346</v>
      </c>
      <c r="H12" s="14">
        <f t="shared" si="1"/>
        <v>0.123334338257462</v>
      </c>
      <c r="I12" s="14">
        <f t="shared" si="1"/>
        <v>0</v>
      </c>
      <c r="J12" s="14">
        <f t="shared" si="1"/>
        <v>0</v>
      </c>
      <c r="K12" s="14">
        <f t="shared" si="1"/>
        <v>0</v>
      </c>
      <c r="L12" s="14">
        <f t="shared" si="1"/>
        <v>0</v>
      </c>
      <c r="M12" s="14">
        <f t="shared" si="1"/>
        <v>0</v>
      </c>
      <c r="N12" s="14">
        <f t="shared" si="1"/>
        <v>0</v>
      </c>
      <c r="O12" s="14">
        <f t="shared" si="1"/>
        <v>0.308082050273009</v>
      </c>
      <c r="BP12" s="84"/>
      <c r="BQ12" s="85"/>
      <c r="BR12" s="85"/>
      <c r="BS12" s="85"/>
      <c r="BT12" s="85"/>
      <c r="BU12" s="85"/>
      <c r="BV12" s="85"/>
      <c r="BW12" s="85"/>
      <c r="BX12" s="85"/>
      <c r="BY12" s="85"/>
      <c r="BZ12" s="85"/>
      <c r="CA12" s="85"/>
      <c r="CB12" s="85"/>
      <c r="CC12" s="100"/>
      <c r="CD12" s="100"/>
      <c r="CE12" s="100"/>
    </row>
    <row r="13" s="64" customFormat="1" spans="1:83">
      <c r="A13" s="70">
        <f>'[1]特别隐藏版（勿动、勿看）'!A13</f>
        <v>0</v>
      </c>
      <c r="B13" s="16">
        <f>'[1]特别隐藏版（勿动、勿看）'!B13</f>
        <v>0</v>
      </c>
      <c r="C13" s="17">
        <f>'[1]特别隐藏版（勿动、勿看）'!C13</f>
        <v>0</v>
      </c>
      <c r="D13" s="17">
        <f>'[1]特别隐藏版（勿动、勿看）'!D13</f>
        <v>0</v>
      </c>
      <c r="E13" s="17">
        <f>'[1]特别隐藏版（勿动、勿看）'!E13</f>
        <v>0</v>
      </c>
      <c r="F13" s="17">
        <f>'[1]特别隐藏版（勿动、勿看）'!F13</f>
        <v>0</v>
      </c>
      <c r="G13" s="17">
        <f>'[1]特别隐藏版（勿动、勿看）'!G13</f>
        <v>0</v>
      </c>
      <c r="H13" s="17">
        <f>'[1]特别隐藏版（勿动、勿看）'!H13</f>
        <v>0</v>
      </c>
      <c r="I13" s="17">
        <f>'[1]特别隐藏版（勿动、勿看）'!I13</f>
        <v>0</v>
      </c>
      <c r="J13" s="17">
        <f>'[1]特别隐藏版（勿动、勿看）'!J13</f>
        <v>0</v>
      </c>
      <c r="K13" s="17">
        <f>'[1]特别隐藏版（勿动、勿看）'!K13</f>
        <v>0</v>
      </c>
      <c r="L13" s="17">
        <f>'[1]特别隐藏版（勿动、勿看）'!L13</f>
        <v>0</v>
      </c>
      <c r="M13" s="17">
        <f>'[1]特别隐藏版（勿动、勿看）'!M13</f>
        <v>0</v>
      </c>
      <c r="N13" s="17">
        <f>'[1]特别隐藏版（勿动、勿看）'!N13</f>
        <v>0</v>
      </c>
      <c r="O13" s="30">
        <f>'[1]特别隐藏版（勿动、勿看）'!O13</f>
        <v>0</v>
      </c>
      <c r="BP13" s="84"/>
      <c r="BQ13" s="85"/>
      <c r="BR13" s="85"/>
      <c r="BS13" s="85"/>
      <c r="BT13" s="85"/>
      <c r="BU13" s="85"/>
      <c r="BV13" s="85"/>
      <c r="BW13" s="85"/>
      <c r="BX13" s="85"/>
      <c r="BY13" s="85"/>
      <c r="BZ13" s="85"/>
      <c r="CA13" s="85"/>
      <c r="CB13" s="85"/>
      <c r="CC13" s="100"/>
      <c r="CD13" s="100"/>
      <c r="CE13" s="100"/>
    </row>
    <row r="14" s="64" customFormat="1" spans="1:83">
      <c r="A14" s="70">
        <f>'[1]特别隐藏版（勿动、勿看）'!A14</f>
        <v>0</v>
      </c>
      <c r="B14" s="67" t="str">
        <f>'[1]特别隐藏版（勿动、勿看）'!B14</f>
        <v>实销目标</v>
      </c>
      <c r="C14" s="72">
        <f>'[1]2026年度男装汇总分析'!C14</f>
        <v>6897.35764350642</v>
      </c>
      <c r="D14" s="72">
        <f>'[1]2026年度男装汇总分析'!D14</f>
        <v>10111.6874213955</v>
      </c>
      <c r="E14" s="72">
        <f>'[1]2026年度男装汇总分析'!E14</f>
        <v>11086.2267444023</v>
      </c>
      <c r="F14" s="72">
        <f>'[1]2026年度男装汇总分析'!F14</f>
        <v>12472.0552607735</v>
      </c>
      <c r="G14" s="72">
        <f>'[1]2026年度男装汇总分析'!G14</f>
        <v>10728.7647155245</v>
      </c>
      <c r="H14" s="72">
        <f>'[1]2026年度男装汇总分析'!H14</f>
        <v>11086.390206042</v>
      </c>
      <c r="I14" s="72">
        <f>'[1]2026年度男装汇总分析'!I14</f>
        <v>13984.8055722318</v>
      </c>
      <c r="J14" s="72">
        <f>'[1]2026年度男装汇总分析'!J14</f>
        <v>13533.6828118373</v>
      </c>
      <c r="K14" s="72">
        <f>'[1]2026年度男装汇总分析'!K14</f>
        <v>13410.0089029832</v>
      </c>
      <c r="L14" s="72">
        <f>'[1]2026年度男装汇总分析'!L14</f>
        <v>12490.9058483349</v>
      </c>
      <c r="M14" s="72">
        <f>'[1]2026年度男装汇总分析'!M14</f>
        <v>12907.2693766127</v>
      </c>
      <c r="N14" s="72">
        <f>'[1]2026年度男装汇总分析'!N14</f>
        <v>7213.14826393716</v>
      </c>
      <c r="O14" s="32">
        <f>'[1]特别隐藏版（勿动、勿看）'!O14</f>
        <v>134432.16899354</v>
      </c>
      <c r="BP14" s="84"/>
      <c r="BQ14" s="85"/>
      <c r="BR14" s="85"/>
      <c r="BS14" s="85"/>
      <c r="BT14" s="85"/>
      <c r="BU14" s="85"/>
      <c r="BV14" s="85"/>
      <c r="BW14" s="85"/>
      <c r="BX14" s="85"/>
      <c r="BY14" s="85"/>
      <c r="BZ14" s="85"/>
      <c r="CA14" s="85"/>
      <c r="CB14" s="85"/>
      <c r="CC14" s="100"/>
      <c r="CD14" s="100"/>
      <c r="CE14" s="100"/>
    </row>
    <row r="15" s="64" customFormat="1" spans="1:83">
      <c r="A15" s="70">
        <f>'[1]特别隐藏版（勿动、勿看）'!A15</f>
        <v>0</v>
      </c>
      <c r="B15" s="12" t="str">
        <f>'[1]特别隐藏版（勿动、勿看）'!B15</f>
        <v>实销完成</v>
      </c>
      <c r="C15" s="12">
        <f>'[1]2026年度男装汇总分析'!C15</f>
        <v>6365</v>
      </c>
      <c r="D15" s="12">
        <f>'[1]2026年度男装汇总分析'!D15</f>
        <v>9824</v>
      </c>
      <c r="E15" s="12">
        <f>'[1]2026年度男装汇总分析'!E15</f>
        <v>5779</v>
      </c>
      <c r="F15" s="12">
        <f>'[1]2026年度男装汇总分析'!F15</f>
        <v>7790</v>
      </c>
      <c r="G15" s="12">
        <f>'[1]2026年度男装汇总分析'!G15</f>
        <v>5201</v>
      </c>
      <c r="H15" s="12">
        <f>'[1]2026年度男装汇总分析'!H15</f>
        <v>1382</v>
      </c>
      <c r="I15" s="12">
        <f>'[1]2026年度男装汇总分析'!I15</f>
        <v>0</v>
      </c>
      <c r="J15" s="12">
        <f>'[1]2026年度男装汇总分析'!J15</f>
        <v>0</v>
      </c>
      <c r="K15" s="12">
        <f>'[1]2026年度男装汇总分析'!K15</f>
        <v>0</v>
      </c>
      <c r="L15" s="12">
        <f>'[1]2026年度男装汇总分析'!L15</f>
        <v>0</v>
      </c>
      <c r="M15" s="12">
        <f>'[1]2026年度男装汇总分析'!M15</f>
        <v>0</v>
      </c>
      <c r="N15" s="12">
        <f>'[1]2026年度男装汇总分析'!N15</f>
        <v>0</v>
      </c>
      <c r="O15" s="12">
        <f>'[1]特别隐藏版（勿动、勿看）'!O15</f>
        <v>45345</v>
      </c>
      <c r="P15" s="65"/>
      <c r="BP15" s="84"/>
      <c r="BQ15" s="85"/>
      <c r="BR15" s="85"/>
      <c r="BS15" s="85"/>
      <c r="BT15" s="85"/>
      <c r="BU15" s="85"/>
      <c r="BV15" s="85"/>
      <c r="BW15" s="85"/>
      <c r="BX15" s="85"/>
      <c r="BY15" s="85"/>
      <c r="BZ15" s="85"/>
      <c r="CA15" s="85"/>
      <c r="CB15" s="85"/>
      <c r="CC15" s="100"/>
      <c r="CD15" s="100"/>
      <c r="CE15" s="100"/>
    </row>
    <row r="16" s="64" customFormat="1" spans="1:83">
      <c r="A16" s="70">
        <f>'[1]特别隐藏版（勿动、勿看）'!A16</f>
        <v>0</v>
      </c>
      <c r="B16" s="67" t="str">
        <f>'[1]特别隐藏版（勿动、勿看）'!B16</f>
        <v>实销完成进度</v>
      </c>
      <c r="C16" s="14">
        <f t="shared" ref="C16:O16" si="2">C15/C14</f>
        <v>0.922817161147557</v>
      </c>
      <c r="D16" s="14">
        <f t="shared" si="2"/>
        <v>0.971549019524993</v>
      </c>
      <c r="E16" s="14">
        <f t="shared" si="2"/>
        <v>0.521277449328551</v>
      </c>
      <c r="F16" s="14">
        <f t="shared" si="2"/>
        <v>0.624596334535233</v>
      </c>
      <c r="G16" s="14">
        <f t="shared" si="2"/>
        <v>0.484771559252685</v>
      </c>
      <c r="H16" s="14">
        <f t="shared" si="2"/>
        <v>0.12465734782155</v>
      </c>
      <c r="I16" s="14">
        <f t="shared" si="2"/>
        <v>0</v>
      </c>
      <c r="J16" s="14">
        <f t="shared" si="2"/>
        <v>0</v>
      </c>
      <c r="K16" s="14">
        <f t="shared" si="2"/>
        <v>0</v>
      </c>
      <c r="L16" s="14">
        <f t="shared" si="2"/>
        <v>0</v>
      </c>
      <c r="M16" s="14">
        <f t="shared" si="2"/>
        <v>0</v>
      </c>
      <c r="N16" s="14">
        <f t="shared" si="2"/>
        <v>0</v>
      </c>
      <c r="O16" s="14">
        <f t="shared" si="2"/>
        <v>0.337307657382059</v>
      </c>
      <c r="BP16" s="84"/>
      <c r="BQ16" s="85"/>
      <c r="BR16" s="85"/>
      <c r="BS16" s="85"/>
      <c r="BT16" s="85"/>
      <c r="BU16" s="85"/>
      <c r="BV16" s="85"/>
      <c r="BW16" s="85"/>
      <c r="BX16" s="85"/>
      <c r="BY16" s="85"/>
      <c r="BZ16" s="85"/>
      <c r="CA16" s="85"/>
      <c r="CB16" s="85"/>
      <c r="CC16" s="100"/>
      <c r="CD16" s="100"/>
      <c r="CE16" s="100"/>
    </row>
    <row r="17" s="64" customFormat="1" spans="1:83">
      <c r="A17" s="70">
        <f>'[1]特别隐藏版（勿动、勿看）'!A17</f>
        <v>0</v>
      </c>
      <c r="B17" s="16">
        <f>'[1]特别隐藏版（勿动、勿看）'!B17</f>
        <v>0</v>
      </c>
      <c r="C17" s="17">
        <f>'[1]特别隐藏版（勿动、勿看）'!C17</f>
        <v>0</v>
      </c>
      <c r="D17" s="17">
        <f>'[1]特别隐藏版（勿动、勿看）'!D17</f>
        <v>0</v>
      </c>
      <c r="E17" s="17">
        <f>'[1]特别隐藏版（勿动、勿看）'!E17</f>
        <v>0</v>
      </c>
      <c r="F17" s="17">
        <f>'[1]特别隐藏版（勿动、勿看）'!F17</f>
        <v>0</v>
      </c>
      <c r="G17" s="17">
        <f>'[1]特别隐藏版（勿动、勿看）'!G17</f>
        <v>0</v>
      </c>
      <c r="H17" s="17">
        <f>'[1]特别隐藏版（勿动、勿看）'!H17</f>
        <v>0</v>
      </c>
      <c r="I17" s="17">
        <f>'[1]特别隐藏版（勿动、勿看）'!I17</f>
        <v>0</v>
      </c>
      <c r="J17" s="17">
        <f>'[1]特别隐藏版（勿动、勿看）'!J17</f>
        <v>0</v>
      </c>
      <c r="K17" s="17">
        <f>'[1]特别隐藏版（勿动、勿看）'!K17</f>
        <v>0</v>
      </c>
      <c r="L17" s="17">
        <f>'[1]特别隐藏版（勿动、勿看）'!L17</f>
        <v>0</v>
      </c>
      <c r="M17" s="17">
        <f>'[1]特别隐藏版（勿动、勿看）'!M17</f>
        <v>0</v>
      </c>
      <c r="N17" s="17">
        <f>'[1]特别隐藏版（勿动、勿看）'!N17</f>
        <v>0</v>
      </c>
      <c r="O17" s="30">
        <f>'[1]特别隐藏版（勿动、勿看）'!O17</f>
        <v>0</v>
      </c>
      <c r="BP17" s="87"/>
      <c r="BQ17" s="86"/>
      <c r="BR17" s="86"/>
      <c r="BS17" s="86"/>
      <c r="BT17" s="86"/>
      <c r="BU17" s="86"/>
      <c r="BV17" s="86"/>
      <c r="BW17" s="86"/>
      <c r="BX17" s="86"/>
      <c r="BY17" s="86"/>
      <c r="BZ17" s="86"/>
      <c r="CA17" s="86"/>
      <c r="CB17" s="86"/>
      <c r="CC17" s="100"/>
      <c r="CD17" s="100"/>
      <c r="CE17" s="100"/>
    </row>
    <row r="18" s="66" customFormat="1" spans="1:83">
      <c r="A18" s="73">
        <f>'[1]特别隐藏版（勿动、勿看）'!A18</f>
        <v>0</v>
      </c>
      <c r="B18" s="74" t="str">
        <f>'[1]特别隐藏版（勿动、勿看）'!B18</f>
        <v>GMV目标</v>
      </c>
      <c r="C18" s="74">
        <f>'[1]2026年度男装汇总分析'!C18</f>
        <v>80493092.3882099</v>
      </c>
      <c r="D18" s="74">
        <f>'[1]2026年度男装汇总分析'!D18</f>
        <v>119089072.754788</v>
      </c>
      <c r="E18" s="74">
        <f>'[1]2026年度男装汇总分析'!E18</f>
        <v>131407647.769309</v>
      </c>
      <c r="F18" s="74">
        <f>'[1]2026年度男装汇总分析'!F18</f>
        <v>147885532.814373</v>
      </c>
      <c r="G18" s="74">
        <f>'[1]2026年度男装汇总分析'!G18</f>
        <v>127926788.132262</v>
      </c>
      <c r="H18" s="74">
        <f>'[1]2026年度男装汇总分析'!H18</f>
        <v>132191014.403337</v>
      </c>
      <c r="I18" s="74">
        <f>'[1]2026年度男装汇总分析'!I18</f>
        <v>166757115.903943</v>
      </c>
      <c r="J18" s="74">
        <f>'[1]2026年度男装汇总分析'!J18</f>
        <v>161377854.10059</v>
      </c>
      <c r="K18" s="74">
        <f>'[1]2026年度男装汇总分析'!K18</f>
        <v>160880813.862657</v>
      </c>
      <c r="L18" s="74">
        <f>'[1]2026年度男装汇总分析'!L18</f>
        <v>149498436.887819</v>
      </c>
      <c r="M18" s="74">
        <f>'[1]2026年度男装汇总分析'!M18</f>
        <v>154481718.117413</v>
      </c>
      <c r="N18" s="74">
        <f>'[1]2026年度男装汇总分析'!N18</f>
        <v>86489221.9910386</v>
      </c>
      <c r="O18" s="33">
        <f>'[1]特别隐藏版（勿动、勿看）'!O18</f>
        <v>1702896506.80041</v>
      </c>
      <c r="P18" s="64"/>
      <c r="BP18" s="87"/>
      <c r="BQ18" s="86"/>
      <c r="BR18" s="86"/>
      <c r="BS18" s="86"/>
      <c r="BT18" s="86"/>
      <c r="BU18" s="86"/>
      <c r="BV18" s="86"/>
      <c r="BW18" s="86"/>
      <c r="BX18" s="86"/>
      <c r="BY18" s="86"/>
      <c r="BZ18" s="86"/>
      <c r="CA18" s="86"/>
      <c r="CB18" s="86"/>
      <c r="CC18" s="100"/>
      <c r="CD18" s="100"/>
      <c r="CE18" s="100"/>
    </row>
    <row r="19" s="66" customFormat="1" spans="1:83">
      <c r="A19" s="73">
        <f>'[1]特别隐藏版（勿动、勿看）'!A19</f>
        <v>0</v>
      </c>
      <c r="B19" s="21" t="str">
        <f>'[1]特别隐藏版（勿动、勿看）'!B19</f>
        <v>GMV完成</v>
      </c>
      <c r="C19" s="21">
        <f>'[1]2026年度男装汇总分析'!C19</f>
        <v>87962394</v>
      </c>
      <c r="D19" s="21">
        <f>'[1]2026年度男装汇总分析'!D19</f>
        <v>148640998</v>
      </c>
      <c r="E19" s="21">
        <f>'[1]2026年度男装汇总分析'!E19</f>
        <v>95808740</v>
      </c>
      <c r="F19" s="21">
        <f>'[1]2026年度男装汇总分析'!F19</f>
        <v>115730945</v>
      </c>
      <c r="G19" s="21">
        <f>'[1]2026年度男装汇总分析'!G19</f>
        <v>71404757</v>
      </c>
      <c r="H19" s="21">
        <f>'[1]2026年度男装汇总分析'!H19</f>
        <v>20007967</v>
      </c>
      <c r="I19" s="21">
        <f>'[1]2026年度男装汇总分析'!I19</f>
        <v>0</v>
      </c>
      <c r="J19" s="21">
        <f>'[1]2026年度男装汇总分析'!J19</f>
        <v>0</v>
      </c>
      <c r="K19" s="21">
        <f>'[1]2026年度男装汇总分析'!K19</f>
        <v>0</v>
      </c>
      <c r="L19" s="21">
        <f>'[1]2026年度男装汇总分析'!L19</f>
        <v>0</v>
      </c>
      <c r="M19" s="21">
        <f>'[1]2026年度男装汇总分析'!M19</f>
        <v>0</v>
      </c>
      <c r="N19" s="21">
        <f>'[1]2026年度男装汇总分析'!N19</f>
        <v>0</v>
      </c>
      <c r="O19" s="21">
        <f>'[1]特别隐藏版（勿动、勿看）'!O19</f>
        <v>739894426</v>
      </c>
      <c r="P19" s="65"/>
      <c r="BP19" s="88"/>
      <c r="BQ19" s="89"/>
      <c r="BR19" s="89"/>
      <c r="BS19" s="89"/>
      <c r="BT19" s="89"/>
      <c r="BU19" s="89"/>
      <c r="BV19" s="89"/>
      <c r="BW19" s="89"/>
      <c r="BX19" s="89"/>
      <c r="BY19" s="89"/>
      <c r="BZ19" s="89"/>
      <c r="CA19" s="89"/>
      <c r="CB19" s="108"/>
      <c r="CC19" s="100"/>
      <c r="CD19" s="100"/>
      <c r="CE19" s="100"/>
    </row>
    <row r="20" s="64" customFormat="1" spans="1:83">
      <c r="A20" s="70">
        <f>'[1]特别隐藏版（勿动、勿看）'!A20</f>
        <v>0</v>
      </c>
      <c r="B20" s="67" t="str">
        <f>'[1]特别隐藏版（勿动、勿看）'!B20</f>
        <v>GMV完成进度</v>
      </c>
      <c r="C20" s="14">
        <f t="shared" ref="C20:O20" si="3">C19/C18</f>
        <v>1.09279431799895</v>
      </c>
      <c r="D20" s="14">
        <f t="shared" si="3"/>
        <v>1.24814976354767</v>
      </c>
      <c r="E20" s="14">
        <f t="shared" si="3"/>
        <v>0.729095616780203</v>
      </c>
      <c r="F20" s="14">
        <f t="shared" si="3"/>
        <v>0.782571106162672</v>
      </c>
      <c r="G20" s="14">
        <f t="shared" si="3"/>
        <v>0.558168918664443</v>
      </c>
      <c r="H20" s="14">
        <f t="shared" si="3"/>
        <v>0.15135648281624</v>
      </c>
      <c r="I20" s="14">
        <f t="shared" si="3"/>
        <v>0</v>
      </c>
      <c r="J20" s="14">
        <f t="shared" si="3"/>
        <v>0</v>
      </c>
      <c r="K20" s="14">
        <f t="shared" si="3"/>
        <v>0</v>
      </c>
      <c r="L20" s="14">
        <f t="shared" si="3"/>
        <v>0</v>
      </c>
      <c r="M20" s="14">
        <f t="shared" si="3"/>
        <v>0</v>
      </c>
      <c r="N20" s="14">
        <f t="shared" si="3"/>
        <v>0</v>
      </c>
      <c r="O20" s="14">
        <f t="shared" si="3"/>
        <v>0.4344917163464</v>
      </c>
      <c r="BP20" s="90"/>
      <c r="BQ20" s="91"/>
      <c r="BR20" s="91"/>
      <c r="BS20" s="91"/>
      <c r="BT20" s="91"/>
      <c r="BU20" s="91"/>
      <c r="BV20" s="91"/>
      <c r="BW20" s="91"/>
      <c r="BX20" s="91"/>
      <c r="BY20" s="91"/>
      <c r="BZ20" s="91"/>
      <c r="CA20" s="91"/>
      <c r="CB20" s="109"/>
      <c r="CC20" s="100"/>
      <c r="CD20" s="100"/>
      <c r="CE20" s="100"/>
    </row>
    <row r="21" s="64" customFormat="1" spans="1:83">
      <c r="A21" s="70">
        <f>'[1]特别隐藏版（勿动、勿看）'!A21</f>
        <v>0</v>
      </c>
      <c r="B21" s="16">
        <f>'[1]特别隐藏版（勿动、勿看）'!B21</f>
        <v>0</v>
      </c>
      <c r="C21" s="17">
        <f>'[1]特别隐藏版（勿动、勿看）'!C21</f>
        <v>0</v>
      </c>
      <c r="D21" s="17">
        <f>'[1]特别隐藏版（勿动、勿看）'!D21</f>
        <v>0</v>
      </c>
      <c r="E21" s="17">
        <f>'[1]特别隐藏版（勿动、勿看）'!E21</f>
        <v>0</v>
      </c>
      <c r="F21" s="17">
        <f>'[1]特别隐藏版（勿动、勿看）'!F21</f>
        <v>0</v>
      </c>
      <c r="G21" s="17">
        <f>'[1]特别隐藏版（勿动、勿看）'!G21</f>
        <v>0</v>
      </c>
      <c r="H21" s="17">
        <f>'[1]特别隐藏版（勿动、勿看）'!H21</f>
        <v>0</v>
      </c>
      <c r="I21" s="17">
        <f>'[1]特别隐藏版（勿动、勿看）'!I21</f>
        <v>0</v>
      </c>
      <c r="J21" s="17">
        <f>'[1]特别隐藏版（勿动、勿看）'!J21</f>
        <v>0</v>
      </c>
      <c r="K21" s="17">
        <f>'[1]特别隐藏版（勿动、勿看）'!K21</f>
        <v>0</v>
      </c>
      <c r="L21" s="17">
        <f>'[1]特别隐藏版（勿动、勿看）'!L21</f>
        <v>0</v>
      </c>
      <c r="M21" s="17">
        <f>'[1]特别隐藏版（勿动、勿看）'!M21</f>
        <v>0</v>
      </c>
      <c r="N21" s="17">
        <f>'[1]特别隐藏版（勿动、勿看）'!N21</f>
        <v>0</v>
      </c>
      <c r="O21" s="30">
        <f>'[1]特别隐藏版（勿动、勿看）'!O21</f>
        <v>0</v>
      </c>
      <c r="BP21" s="87"/>
      <c r="BQ21" s="86"/>
      <c r="BR21" s="86"/>
      <c r="BS21" s="86"/>
      <c r="BT21" s="86"/>
      <c r="BU21" s="86"/>
      <c r="BV21" s="86"/>
      <c r="BW21" s="86"/>
      <c r="BX21" s="86"/>
      <c r="BY21" s="86"/>
      <c r="BZ21" s="86"/>
      <c r="CA21" s="86"/>
      <c r="CB21" s="86"/>
      <c r="CC21" s="100"/>
      <c r="CD21" s="100"/>
      <c r="CE21" s="100"/>
    </row>
    <row r="22" s="64" customFormat="1" spans="1:83">
      <c r="A22" s="70">
        <f>'[1]特别隐藏版（勿动、勿看）'!A22</f>
        <v>0</v>
      </c>
      <c r="B22" s="67" t="str">
        <f>'[1]特别隐藏版（勿动、勿看）'!B22</f>
        <v>GSV目标</v>
      </c>
      <c r="C22" s="75">
        <f>'[1]2026年度男装汇总分析'!C22</f>
        <v>2071988.2707281</v>
      </c>
      <c r="D22" s="75">
        <f>'[1]2026年度男装汇总分析'!D22</f>
        <v>3065494.8716562</v>
      </c>
      <c r="E22" s="75">
        <f>'[1]2026年度男装汇总分析'!E22</f>
        <v>3382589.69538433</v>
      </c>
      <c r="F22" s="75">
        <f>'[1]2026年度男装汇总分析'!F22</f>
        <v>3806750.1236496</v>
      </c>
      <c r="G22" s="75">
        <f>'[1]2026年度男装汇总分析'!G22</f>
        <v>3292988.21374131</v>
      </c>
      <c r="H22" s="75">
        <f>'[1]2026年度男装汇总分析'!H22</f>
        <v>3402754.48753268</v>
      </c>
      <c r="I22" s="75">
        <f>'[1]2026年度男装汇总分析'!I22</f>
        <v>4292527.19658247</v>
      </c>
      <c r="J22" s="75">
        <f>'[1]2026年度男装汇总分析'!J22</f>
        <v>4154058.57733787</v>
      </c>
      <c r="K22" s="75">
        <f>'[1]2026年度男装汇总分析'!K22</f>
        <v>4141264.16837033</v>
      </c>
      <c r="L22" s="75">
        <f>'[1]2026年度男装汇总分析'!L22</f>
        <v>3848268.19958426</v>
      </c>
      <c r="M22" s="75">
        <f>'[1]2026年度男装汇总分析'!M22</f>
        <v>3976543.80623707</v>
      </c>
      <c r="N22" s="75">
        <f>'[1]2026年度男装汇总分析'!N22</f>
        <v>2226335.80339472</v>
      </c>
      <c r="O22" s="29">
        <f>'[1]特别隐藏版（勿动、勿看）'!O22</f>
        <v>43834588.5798161</v>
      </c>
      <c r="BP22" s="87"/>
      <c r="BQ22" s="86"/>
      <c r="BR22" s="86"/>
      <c r="BS22" s="86"/>
      <c r="BT22" s="86"/>
      <c r="BU22" s="86"/>
      <c r="BV22" s="86"/>
      <c r="BW22" s="86"/>
      <c r="BX22" s="86"/>
      <c r="BY22" s="86"/>
      <c r="BZ22" s="86"/>
      <c r="CA22" s="86"/>
      <c r="CB22" s="86"/>
      <c r="CC22" s="100"/>
      <c r="CD22" s="100"/>
      <c r="CE22" s="100"/>
    </row>
    <row r="23" s="64" customFormat="1" spans="1:83">
      <c r="A23" s="70">
        <f>'[1]特别隐藏版（勿动、勿看）'!A23</f>
        <v>0</v>
      </c>
      <c r="B23" s="12" t="str">
        <f>'[1]特别隐藏版（勿动、勿看）'!B23</f>
        <v>GSV完成</v>
      </c>
      <c r="C23" s="23">
        <f>'[1]2026年度男装汇总分析'!C23</f>
        <v>2304945.05</v>
      </c>
      <c r="D23" s="23">
        <f>'[1]2026年度男装汇总分析'!D23</f>
        <v>3779574.67</v>
      </c>
      <c r="E23" s="23">
        <f>'[1]2026年度男装汇总分析'!E23</f>
        <v>2243082.76</v>
      </c>
      <c r="F23" s="23">
        <f>'[1]2026年度男装汇总分析'!F23</f>
        <v>3000516.43</v>
      </c>
      <c r="G23" s="23">
        <f>'[1]2026年度男装汇总分析'!G23</f>
        <v>2098469.2321</v>
      </c>
      <c r="H23" s="23">
        <f>'[1]2026年度男装汇总分析'!H23</f>
        <v>519949.8425</v>
      </c>
      <c r="I23" s="23">
        <f>'[1]2026年度男装汇总分析'!I23</f>
        <v>0</v>
      </c>
      <c r="J23" s="23">
        <f>'[1]2026年度男装汇总分析'!J23</f>
        <v>0</v>
      </c>
      <c r="K23" s="23">
        <f>'[1]2026年度男装汇总分析'!K23</f>
        <v>0</v>
      </c>
      <c r="L23" s="23">
        <f>'[1]2026年度男装汇总分析'!L23</f>
        <v>0</v>
      </c>
      <c r="M23" s="23">
        <f>'[1]2026年度男装汇总分析'!M23</f>
        <v>0</v>
      </c>
      <c r="N23" s="23">
        <f>'[1]2026年度男装汇总分析'!N23</f>
        <v>0</v>
      </c>
      <c r="O23" s="13">
        <f>'[1]特别隐藏版（勿动、勿看）'!O23</f>
        <v>17853619.6777</v>
      </c>
      <c r="P23" s="65"/>
      <c r="BP23" s="92"/>
      <c r="BQ23" s="93"/>
      <c r="BR23" s="93"/>
      <c r="BS23" s="93"/>
      <c r="BT23" s="93"/>
      <c r="BU23" s="93"/>
      <c r="BV23" s="93"/>
      <c r="BW23" s="93"/>
      <c r="BX23" s="93"/>
      <c r="BY23" s="93"/>
      <c r="BZ23" s="93"/>
      <c r="CA23" s="93"/>
      <c r="CB23" s="93"/>
      <c r="CC23" s="100"/>
      <c r="CD23" s="100"/>
      <c r="CE23" s="100"/>
    </row>
    <row r="24" s="64" customFormat="1" spans="1:83">
      <c r="A24" s="70">
        <f>'[1]特别隐藏版（勿动、勿看）'!A24</f>
        <v>0</v>
      </c>
      <c r="B24" s="67" t="str">
        <f>'[1]特别隐藏版（勿动、勿看）'!B24</f>
        <v>GSV完成进度</v>
      </c>
      <c r="C24" s="14">
        <f t="shared" ref="C24:O24" si="4">C23/C22</f>
        <v>1.11243151448441</v>
      </c>
      <c r="D24" s="14">
        <f t="shared" si="4"/>
        <v>1.23294111660282</v>
      </c>
      <c r="E24" s="14">
        <f t="shared" si="4"/>
        <v>0.66312587750763</v>
      </c>
      <c r="F24" s="14">
        <f t="shared" si="4"/>
        <v>0.788209452298737</v>
      </c>
      <c r="G24" s="14">
        <f t="shared" si="4"/>
        <v>0.637253793786233</v>
      </c>
      <c r="H24" s="14">
        <f t="shared" si="4"/>
        <v>0.152802632221936</v>
      </c>
      <c r="I24" s="14">
        <f t="shared" si="4"/>
        <v>0</v>
      </c>
      <c r="J24" s="14">
        <f t="shared" si="4"/>
        <v>0</v>
      </c>
      <c r="K24" s="14">
        <f t="shared" si="4"/>
        <v>0</v>
      </c>
      <c r="L24" s="14">
        <f t="shared" si="4"/>
        <v>0</v>
      </c>
      <c r="M24" s="14">
        <f t="shared" si="4"/>
        <v>0</v>
      </c>
      <c r="N24" s="14">
        <f t="shared" si="4"/>
        <v>0</v>
      </c>
      <c r="O24" s="14">
        <f t="shared" si="4"/>
        <v>0.407295249165879</v>
      </c>
      <c r="BP24" s="87"/>
      <c r="BQ24" s="87"/>
      <c r="BR24" s="87"/>
      <c r="BS24" s="87"/>
      <c r="BT24" s="87"/>
      <c r="BU24" s="87"/>
      <c r="BV24" s="87"/>
      <c r="BW24" s="87"/>
      <c r="BX24" s="87"/>
      <c r="BY24" s="87"/>
      <c r="BZ24" s="87"/>
      <c r="CA24" s="87"/>
      <c r="CB24" s="87"/>
      <c r="CC24" s="100"/>
      <c r="CD24" s="100"/>
      <c r="CE24" s="100"/>
    </row>
    <row r="25" s="64" customFormat="1" spans="1:83">
      <c r="A25" s="70">
        <f>'[1]特别隐藏版（勿动、勿看）'!A25</f>
        <v>0</v>
      </c>
      <c r="B25" s="16">
        <f>'[1]特别隐藏版（勿动、勿看）'!B25</f>
        <v>0</v>
      </c>
      <c r="C25" s="17">
        <f>'[1]特别隐藏版（勿动、勿看）'!C25</f>
        <v>0</v>
      </c>
      <c r="D25" s="17">
        <f>'[1]特别隐藏版（勿动、勿看）'!D25</f>
        <v>0</v>
      </c>
      <c r="E25" s="17">
        <f>'[1]特别隐藏版（勿动、勿看）'!E25</f>
        <v>0</v>
      </c>
      <c r="F25" s="17">
        <f>'[1]特别隐藏版（勿动、勿看）'!F25</f>
        <v>0</v>
      </c>
      <c r="G25" s="17">
        <f>'[1]特别隐藏版（勿动、勿看）'!G25</f>
        <v>0</v>
      </c>
      <c r="H25" s="17">
        <f>'[1]特别隐藏版（勿动、勿看）'!H25</f>
        <v>0</v>
      </c>
      <c r="I25" s="17">
        <f>'[1]特别隐藏版（勿动、勿看）'!I25</f>
        <v>0</v>
      </c>
      <c r="J25" s="17">
        <f>'[1]特别隐藏版（勿动、勿看）'!J25</f>
        <v>0</v>
      </c>
      <c r="K25" s="17">
        <f>'[1]特别隐藏版（勿动、勿看）'!K25</f>
        <v>0</v>
      </c>
      <c r="L25" s="17">
        <f>'[1]特别隐藏版（勿动、勿看）'!L25</f>
        <v>0</v>
      </c>
      <c r="M25" s="17">
        <f>'[1]特别隐藏版（勿动、勿看）'!M25</f>
        <v>0</v>
      </c>
      <c r="N25" s="17">
        <f>'[1]特别隐藏版（勿动、勿看）'!N25</f>
        <v>0</v>
      </c>
      <c r="O25" s="30">
        <f>'[1]特别隐藏版（勿动、勿看）'!O25</f>
        <v>0</v>
      </c>
      <c r="BP25" s="87"/>
      <c r="BQ25" s="87"/>
      <c r="BR25" s="87"/>
      <c r="BS25" s="87"/>
      <c r="BT25" s="87"/>
      <c r="BU25" s="87"/>
      <c r="BV25" s="87"/>
      <c r="BW25" s="87"/>
      <c r="BX25" s="87"/>
      <c r="BY25" s="87"/>
      <c r="BZ25" s="87"/>
      <c r="CA25" s="87"/>
      <c r="CB25" s="87"/>
      <c r="CC25" s="100"/>
      <c r="CD25" s="100"/>
      <c r="CE25" s="100"/>
    </row>
    <row r="26" s="64" customFormat="1" spans="1:83">
      <c r="A26" s="70">
        <f>'[1]特别隐藏版（勿动、勿看）'!A26</f>
        <v>0</v>
      </c>
      <c r="B26" s="67" t="str">
        <f>'[1]特别隐藏版（勿动、勿看）'!B26</f>
        <v>退款率</v>
      </c>
      <c r="C26" s="14">
        <f>'[1]特别隐藏版（勿动、勿看）'!C26</f>
        <v>0.687713238790621</v>
      </c>
      <c r="D26" s="14">
        <f>'[1]特别隐藏版（勿动、勿看）'!D26</f>
        <v>0.698604727387426</v>
      </c>
      <c r="E26" s="14">
        <f>'[1]特别隐藏版（勿动、勿看）'!E26</f>
        <v>0.729012655802096</v>
      </c>
      <c r="F26" s="14">
        <f>'[1]特别隐藏版（勿动、勿看）'!F26</f>
        <v>0.70390916276867</v>
      </c>
      <c r="G26" s="14">
        <f>'[1]特别隐藏版（勿动、勿看）'!G26</f>
        <v>0.66585209409716</v>
      </c>
      <c r="H26" s="14">
        <f>'[1]特别隐藏版（勿动、勿看）'!H26</f>
        <v>0.690224565557606</v>
      </c>
      <c r="I26" s="14" t="e">
        <f>'[1]特别隐藏版（勿动、勿看）'!I26</f>
        <v>#DIV/0!</v>
      </c>
      <c r="J26" s="14" t="e">
        <f>'[1]特别隐藏版（勿动、勿看）'!J26</f>
        <v>#DIV/0!</v>
      </c>
      <c r="K26" s="14" t="e">
        <f>'[1]特别隐藏版（勿动、勿看）'!K26</f>
        <v>#DIV/0!</v>
      </c>
      <c r="L26" s="14" t="e">
        <f>'[1]特别隐藏版（勿动、勿看）'!L26</f>
        <v>#DIV/0!</v>
      </c>
      <c r="M26" s="14" t="e">
        <f>'[1]特别隐藏版（勿动、勿看）'!M26</f>
        <v>#DIV/0!</v>
      </c>
      <c r="N26" s="14" t="e">
        <f>'[1]特别隐藏版（勿动、勿看）'!N26</f>
        <v>#DIV/0!</v>
      </c>
      <c r="O26" s="14">
        <f>'[1]特别隐藏版（勿动、勿看）'!O26</f>
        <v>0.698375554499379</v>
      </c>
      <c r="BP26" s="87"/>
      <c r="BQ26" s="94"/>
      <c r="BR26" s="94"/>
      <c r="BS26" s="94"/>
      <c r="BT26" s="94"/>
      <c r="BU26" s="94"/>
      <c r="BV26" s="94"/>
      <c r="BW26" s="94"/>
      <c r="BX26" s="94"/>
      <c r="BY26" s="94"/>
      <c r="BZ26" s="94"/>
      <c r="CA26" s="94"/>
      <c r="CB26" s="94"/>
      <c r="CC26" s="100"/>
      <c r="CD26" s="100"/>
      <c r="CE26" s="100"/>
    </row>
    <row r="27" s="64" customFormat="1" spans="1:83">
      <c r="A27" s="70">
        <f>'[1]特别隐藏版（勿动、勿看）'!A27</f>
        <v>0</v>
      </c>
      <c r="B27" s="67" t="str">
        <f>'[1]特别隐藏版（勿动、勿看）'!B27</f>
        <v>退货率</v>
      </c>
      <c r="C27" s="14">
        <f>'[1]特别隐藏版（勿动、勿看）'!C27</f>
        <v>0.699238311660985</v>
      </c>
      <c r="D27" s="14">
        <f>'[1]特别隐藏版（勿动、勿看）'!D27</f>
        <v>0.729198050509526</v>
      </c>
      <c r="E27" s="14">
        <f>'[1]特别隐藏版（勿动、勿看）'!E27</f>
        <v>0.744339900029403</v>
      </c>
      <c r="F27" s="14">
        <f>'[1]特别隐藏版（勿动、勿看）'!F27</f>
        <v>0.733192510300944</v>
      </c>
      <c r="G27" s="14">
        <f>'[1]特别隐藏版（勿动、勿看）'!G27</f>
        <v>0.720858403529884</v>
      </c>
      <c r="H27" s="14">
        <f>'[1]特别隐藏版（勿动、勿看）'!H27</f>
        <v>0.663351749539595</v>
      </c>
      <c r="I27" s="14" t="e">
        <f>'[1]特别隐藏版（勿动、勿看）'!I27</f>
        <v>#DIV/0!</v>
      </c>
      <c r="J27" s="14" t="e">
        <f>'[1]特别隐藏版（勿动、勿看）'!J27</f>
        <v>#DIV/0!</v>
      </c>
      <c r="K27" s="14" t="e">
        <f>'[1]特别隐藏版（勿动、勿看）'!K27</f>
        <v>#DIV/0!</v>
      </c>
      <c r="L27" s="14" t="e">
        <f>'[1]特别隐藏版（勿动、勿看）'!L27</f>
        <v>#DIV/0!</v>
      </c>
      <c r="M27" s="14" t="e">
        <f>'[1]特别隐藏版（勿动、勿看）'!M27</f>
        <v>#DIV/0!</v>
      </c>
      <c r="N27" s="14" t="e">
        <f>'[1]特别隐藏版（勿动、勿看）'!N27</f>
        <v>#DIV/0!</v>
      </c>
      <c r="O27" s="14">
        <f>'[1]特别隐藏版（勿动、勿看）'!O27</f>
        <v>0.724876681410291</v>
      </c>
      <c r="BP27" s="87"/>
      <c r="BQ27" s="94"/>
      <c r="BR27" s="94"/>
      <c r="BS27" s="94"/>
      <c r="BT27" s="94"/>
      <c r="BU27" s="94"/>
      <c r="BV27" s="94"/>
      <c r="BW27" s="94"/>
      <c r="BX27" s="94"/>
      <c r="BY27" s="94"/>
      <c r="BZ27" s="94"/>
      <c r="CA27" s="94"/>
      <c r="CB27" s="94"/>
      <c r="CC27" s="100"/>
      <c r="CD27" s="100"/>
      <c r="CE27" s="100"/>
    </row>
    <row r="28" s="64" customFormat="1" spans="1:83">
      <c r="A28" s="70">
        <f>'[1]特别隐藏版（勿动、勿看）'!A28</f>
        <v>0</v>
      </c>
      <c r="B28" s="67" t="str">
        <f>'[1]特别隐藏版（勿动、勿看）'!B28</f>
        <v>利润率</v>
      </c>
      <c r="C28" s="14">
        <f>'[1]特别隐藏版（勿动、勿看）'!C28</f>
        <v>0.138910140417833</v>
      </c>
      <c r="D28" s="14">
        <f>'[1]特别隐藏版（勿动、勿看）'!D28</f>
        <v>0.139867781085804</v>
      </c>
      <c r="E28" s="14">
        <f>'[1]特别隐藏版（勿动、勿看）'!E28</f>
        <v>0.0628267960090245</v>
      </c>
      <c r="F28" s="14">
        <f>'[1]特别隐藏版（勿动、勿看）'!F28</f>
        <v>0.108095037564605</v>
      </c>
      <c r="G28" s="14">
        <f>'[1]特别隐藏版（勿动、勿看）'!G28</f>
        <v>0.113259281343119</v>
      </c>
      <c r="H28" s="14">
        <f>'[1]特别隐藏版（勿动、勿看）'!H28</f>
        <v>0.13193502359908</v>
      </c>
      <c r="I28" s="14" t="e">
        <f>'[1]特别隐藏版（勿动、勿看）'!I28</f>
        <v>#DIV/0!</v>
      </c>
      <c r="J28" s="14" t="e">
        <f>'[1]特别隐藏版（勿动、勿看）'!J28</f>
        <v>#DIV/0!</v>
      </c>
      <c r="K28" s="14" t="e">
        <f>'[1]特别隐藏版（勿动、勿看）'!K28</f>
        <v>#DIV/0!</v>
      </c>
      <c r="L28" s="14" t="e">
        <f>'[1]特别隐藏版（勿动、勿看）'!L28</f>
        <v>#DIV/0!</v>
      </c>
      <c r="M28" s="14" t="e">
        <f>'[1]特别隐藏版（勿动、勿看）'!M28</f>
        <v>#DIV/0!</v>
      </c>
      <c r="N28" s="14" t="e">
        <f>'[1]特别隐藏版（勿动、勿看）'!N28</f>
        <v>#DIV/0!</v>
      </c>
      <c r="O28" s="14">
        <f>'[1]特别隐藏版（勿动、勿看）'!O28</f>
        <v>0.115993966276893</v>
      </c>
      <c r="BP28" s="87"/>
      <c r="BQ28" s="94"/>
      <c r="BR28" s="94"/>
      <c r="BS28" s="94"/>
      <c r="BT28" s="94"/>
      <c r="BU28" s="94"/>
      <c r="BV28" s="94"/>
      <c r="BW28" s="94"/>
      <c r="BX28" s="94"/>
      <c r="BY28" s="94"/>
      <c r="BZ28" s="94"/>
      <c r="CA28" s="94"/>
      <c r="CB28" s="94"/>
      <c r="CC28" s="100"/>
      <c r="CD28" s="100"/>
      <c r="CE28" s="100"/>
    </row>
    <row r="29" s="64" customFormat="1" spans="1:83">
      <c r="A29" s="76">
        <f>'[1]特别隐藏版（勿动、勿看）'!A29</f>
        <v>0</v>
      </c>
      <c r="B29" s="16">
        <f>'[1]特别隐藏版（勿动、勿看）'!B29</f>
        <v>0</v>
      </c>
      <c r="C29" s="17">
        <f>'[1]特别隐藏版（勿动、勿看）'!C29</f>
        <v>0</v>
      </c>
      <c r="D29" s="17">
        <f>'[1]特别隐藏版（勿动、勿看）'!D29</f>
        <v>0</v>
      </c>
      <c r="E29" s="17">
        <f>'[1]特别隐藏版（勿动、勿看）'!E29</f>
        <v>0</v>
      </c>
      <c r="F29" s="17">
        <f>'[1]特别隐藏版（勿动、勿看）'!F29</f>
        <v>0</v>
      </c>
      <c r="G29" s="17">
        <f>'[1]特别隐藏版（勿动、勿看）'!G29</f>
        <v>0</v>
      </c>
      <c r="H29" s="17">
        <f>'[1]特别隐藏版（勿动、勿看）'!H29</f>
        <v>0</v>
      </c>
      <c r="I29" s="17">
        <f>'[1]特别隐藏版（勿动、勿看）'!I29</f>
        <v>0</v>
      </c>
      <c r="J29" s="17">
        <f>'[1]特别隐藏版（勿动、勿看）'!J29</f>
        <v>0</v>
      </c>
      <c r="K29" s="17">
        <f>'[1]特别隐藏版（勿动、勿看）'!K29</f>
        <v>0</v>
      </c>
      <c r="L29" s="17">
        <f>'[1]特别隐藏版（勿动、勿看）'!L29</f>
        <v>0</v>
      </c>
      <c r="M29" s="17">
        <f>'[1]特别隐藏版（勿动、勿看）'!M29</f>
        <v>0</v>
      </c>
      <c r="N29" s="17">
        <f>'[1]特别隐藏版（勿动、勿看）'!N29</f>
        <v>0</v>
      </c>
      <c r="O29" s="30">
        <f>'[1]特别隐藏版（勿动、勿看）'!O29</f>
        <v>0</v>
      </c>
      <c r="BP29" s="87"/>
      <c r="BQ29" s="95"/>
      <c r="BR29" s="95"/>
      <c r="BS29" s="95"/>
      <c r="BT29" s="95"/>
      <c r="BU29" s="95"/>
      <c r="BV29" s="95"/>
      <c r="BW29" s="95"/>
      <c r="BX29" s="95"/>
      <c r="BY29" s="95"/>
      <c r="BZ29" s="95"/>
      <c r="CA29" s="95"/>
      <c r="CB29" s="95"/>
      <c r="CC29" s="100"/>
      <c r="CD29" s="100"/>
      <c r="CE29" s="100"/>
    </row>
    <row r="30" s="64" customFormat="1" spans="1:83">
      <c r="A30" s="69" t="str">
        <f>'[1]特别隐藏版（勿动、勿看）'!A30</f>
        <v>LXTF1店</v>
      </c>
      <c r="B30" s="75" t="str">
        <f>'[1]特别隐藏版（勿动、勿看）'!B30</f>
        <v>实际利润（人民币）</v>
      </c>
      <c r="C30" s="75">
        <f>'[1]2026年度男装汇总分析'!C30</f>
        <v>95377.04</v>
      </c>
      <c r="D30" s="75">
        <f>'[1]2026年度男装汇总分析'!D30</f>
        <v>119066.85</v>
      </c>
      <c r="E30" s="75">
        <f>'[1]2026年度男装汇总分析'!E30</f>
        <v>30031.35</v>
      </c>
      <c r="F30" s="75">
        <f>'[1]2026年度男装汇总分析'!F30</f>
        <v>51410.92</v>
      </c>
      <c r="G30" s="75">
        <f>'[1]2026年度男装汇总分析'!G30</f>
        <v>60265.923414952</v>
      </c>
      <c r="H30" s="75">
        <f>'[1]2026年度男装汇总分析'!H30</f>
        <v>31393.69787581</v>
      </c>
      <c r="I30" s="75">
        <f>'[1]2026年度男装汇总分析'!I30</f>
        <v>0</v>
      </c>
      <c r="J30" s="75">
        <f>'[1]2026年度男装汇总分析'!J30</f>
        <v>0</v>
      </c>
      <c r="K30" s="75">
        <f>'[1]2026年度男装汇总分析'!K30</f>
        <v>0</v>
      </c>
      <c r="L30" s="75">
        <f>'[1]2026年度男装汇总分析'!L30</f>
        <v>0</v>
      </c>
      <c r="M30" s="75">
        <f>'[1]2026年度男装汇总分析'!M30</f>
        <v>0</v>
      </c>
      <c r="N30" s="75">
        <f>'[1]2026年度男装汇总分析'!N30</f>
        <v>0</v>
      </c>
      <c r="O30" s="22">
        <f>SUM(C30:N30)</f>
        <v>387545.781290762</v>
      </c>
      <c r="BP30" s="92"/>
      <c r="BQ30" s="96"/>
      <c r="BR30" s="97"/>
      <c r="BS30" s="97"/>
      <c r="BT30" s="96"/>
      <c r="BU30" s="97"/>
      <c r="BV30" s="97"/>
      <c r="BW30" s="96"/>
      <c r="BX30" s="97"/>
      <c r="BY30" s="97"/>
      <c r="BZ30" s="96"/>
      <c r="CA30" s="97"/>
      <c r="CB30" s="97"/>
      <c r="CC30" s="100"/>
      <c r="CD30" s="100"/>
      <c r="CE30" s="100"/>
    </row>
    <row r="31" s="64" customFormat="1" spans="1:83">
      <c r="A31" s="70">
        <f>'[1]特别隐藏版（勿动、勿看）'!A31</f>
        <v>0</v>
      </c>
      <c r="B31" s="67" t="str">
        <f>'[1]特别隐藏版（勿动、勿看）'!B31</f>
        <v>销量完成</v>
      </c>
      <c r="C31" s="67">
        <f>'[1]2026年度男装汇总分析'!C31</f>
        <v>7692</v>
      </c>
      <c r="D31" s="67">
        <f>'[1]2026年度男装汇总分析'!D31</f>
        <v>11912</v>
      </c>
      <c r="E31" s="67">
        <f>'[1]2026年度男装汇总分析'!E31</f>
        <v>7904</v>
      </c>
      <c r="F31" s="67">
        <f>'[1]2026年度男装汇总分析'!F31</f>
        <v>8430</v>
      </c>
      <c r="G31" s="67">
        <f>'[1]2026年度男装汇总分析'!G31</f>
        <v>5569</v>
      </c>
      <c r="H31" s="67">
        <f>'[1]2026年度男装汇总分析'!H31</f>
        <v>1636</v>
      </c>
      <c r="I31" s="67">
        <f>'[1]2026年度男装汇总分析'!I31</f>
        <v>0</v>
      </c>
      <c r="J31" s="67">
        <f>'[1]2026年度男装汇总分析'!J31</f>
        <v>0</v>
      </c>
      <c r="K31" s="67">
        <f>'[1]2026年度男装汇总分析'!K31</f>
        <v>0</v>
      </c>
      <c r="L31" s="67">
        <f>'[1]2026年度男装汇总分析'!L31</f>
        <v>0</v>
      </c>
      <c r="M31" s="67">
        <f>'[1]2026年度男装汇总分析'!M31</f>
        <v>0</v>
      </c>
      <c r="N31" s="67">
        <f>'[1]2026年度男装汇总分析'!N31</f>
        <v>0</v>
      </c>
      <c r="O31" s="1">
        <f>SUM(C31:N31)</f>
        <v>43143</v>
      </c>
      <c r="BP31" s="92"/>
      <c r="BQ31" s="97"/>
      <c r="BR31" s="97"/>
      <c r="BS31" s="97"/>
      <c r="BT31" s="97"/>
      <c r="BU31" s="97"/>
      <c r="BV31" s="97"/>
      <c r="BW31" s="97"/>
      <c r="BX31" s="97"/>
      <c r="BY31" s="97"/>
      <c r="BZ31" s="97"/>
      <c r="CA31" s="97"/>
      <c r="CB31" s="97"/>
      <c r="CC31" s="100"/>
      <c r="CD31" s="100"/>
      <c r="CE31" s="100"/>
    </row>
    <row r="32" s="64" customFormat="1" spans="1:83">
      <c r="A32" s="70">
        <f>'[1]特别隐藏版（勿动、勿看）'!A32</f>
        <v>0</v>
      </c>
      <c r="B32" s="67" t="str">
        <f>'[1]特别隐藏版（勿动、勿看）'!B32</f>
        <v>实销完成</v>
      </c>
      <c r="C32" s="67">
        <f>'[1]2026年度男装汇总分析'!C32</f>
        <v>2167</v>
      </c>
      <c r="D32" s="67">
        <f>'[1]2026年度男装汇总分析'!D32</f>
        <v>3045</v>
      </c>
      <c r="E32" s="67">
        <f>'[1]2026年度男装汇总分析'!E32</f>
        <v>1899</v>
      </c>
      <c r="F32" s="67">
        <f>'[1]2026年度男装汇总分析'!F32</f>
        <v>2131</v>
      </c>
      <c r="G32" s="67">
        <f>'[1]2026年度男装汇总分析'!G32</f>
        <v>1563</v>
      </c>
      <c r="H32" s="67">
        <f>'[1]2026年度男装汇总分析'!H32</f>
        <v>494</v>
      </c>
      <c r="I32" s="67">
        <f>'[1]2026年度男装汇总分析'!I32</f>
        <v>0</v>
      </c>
      <c r="J32" s="67">
        <f>'[1]2026年度男装汇总分析'!J32</f>
        <v>0</v>
      </c>
      <c r="K32" s="67">
        <f>'[1]2026年度男装汇总分析'!K32</f>
        <v>0</v>
      </c>
      <c r="L32" s="67">
        <f>'[1]2026年度男装汇总分析'!L32</f>
        <v>0</v>
      </c>
      <c r="M32" s="67">
        <f>'[1]2026年度男装汇总分析'!M32</f>
        <v>0</v>
      </c>
      <c r="N32" s="67">
        <f>'[1]2026年度男装汇总分析'!N32</f>
        <v>0</v>
      </c>
      <c r="O32" s="1">
        <f>SUM(C32:N32)</f>
        <v>11299</v>
      </c>
      <c r="BP32" s="92"/>
      <c r="BQ32" s="97"/>
      <c r="BR32" s="97"/>
      <c r="BS32" s="97"/>
      <c r="BT32" s="97"/>
      <c r="BU32" s="97"/>
      <c r="BV32" s="97"/>
      <c r="BW32" s="97"/>
      <c r="BX32" s="97"/>
      <c r="BY32" s="97"/>
      <c r="BZ32" s="97"/>
      <c r="CA32" s="97"/>
      <c r="CB32" s="97"/>
      <c r="CC32" s="100"/>
      <c r="CD32" s="100"/>
      <c r="CE32" s="100"/>
    </row>
    <row r="33" s="66" customFormat="1" spans="1:83">
      <c r="A33" s="73">
        <f>'[1]特别隐藏版（勿动、勿看）'!A33</f>
        <v>0</v>
      </c>
      <c r="B33" s="74" t="str">
        <f>'[1]特别隐藏版（勿动、勿看）'!B33</f>
        <v>GMV完成</v>
      </c>
      <c r="C33" s="74">
        <f>'[1]2026年度男装汇总分析'!C33</f>
        <v>31682878</v>
      </c>
      <c r="D33" s="74">
        <f>'[1]2026年度男装汇总分析'!D33</f>
        <v>51404385</v>
      </c>
      <c r="E33" s="74">
        <f>'[1]2026年度男装汇总分析'!E33</f>
        <v>35413028</v>
      </c>
      <c r="F33" s="74">
        <f>'[1]2026年度男装汇总分析'!F33</f>
        <v>35782129</v>
      </c>
      <c r="G33" s="74">
        <f>'[1]2026年度男装汇总分析'!G33</f>
        <v>24581134</v>
      </c>
      <c r="H33" s="74">
        <f>'[1]2026年度男装汇总分析'!H33</f>
        <v>7574176</v>
      </c>
      <c r="I33" s="74">
        <f>'[1]2026年度男装汇总分析'!I33</f>
        <v>0</v>
      </c>
      <c r="J33" s="74">
        <f>'[1]2026年度男装汇总分析'!J33</f>
        <v>0</v>
      </c>
      <c r="K33" s="74">
        <f>'[1]2026年度男装汇总分析'!K33</f>
        <v>0</v>
      </c>
      <c r="L33" s="74">
        <f>'[1]2026年度男装汇总分析'!L33</f>
        <v>0</v>
      </c>
      <c r="M33" s="74">
        <f>'[1]2026年度男装汇总分析'!M33</f>
        <v>0</v>
      </c>
      <c r="N33" s="74">
        <f>'[1]2026年度男装汇总分析'!N33</f>
        <v>0</v>
      </c>
      <c r="O33" s="81">
        <f t="shared" ref="O33:O42" si="5">SUM(C33:N33)</f>
        <v>186437730</v>
      </c>
      <c r="BP33" s="87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100"/>
      <c r="CD33" s="100"/>
      <c r="CE33" s="100"/>
    </row>
    <row r="34" s="64" customFormat="1" spans="1:83">
      <c r="A34" s="70">
        <f>'[1]特别隐藏版（勿动、勿看）'!A34</f>
        <v>0</v>
      </c>
      <c r="B34" s="75" t="str">
        <f>'[1]特别隐藏版（勿动、勿看）'!B34</f>
        <v>GSV完成</v>
      </c>
      <c r="C34" s="75">
        <f>'[1]2026年度男装汇总分析'!C34</f>
        <v>784712.64</v>
      </c>
      <c r="D34" s="75">
        <f>'[1]2026年度男装汇总分析'!D34</f>
        <v>1179892.49</v>
      </c>
      <c r="E34" s="75">
        <f>'[1]2026年度男装汇总分析'!E34</f>
        <v>724171.24</v>
      </c>
      <c r="F34" s="75">
        <f>'[1]2026年度男装汇总分析'!F34</f>
        <v>833536.12</v>
      </c>
      <c r="G34" s="75">
        <f>'[1]2026年度男装汇总分析'!G34</f>
        <v>635264.5292</v>
      </c>
      <c r="H34" s="75">
        <f>'[1]2026年度男装汇总分析'!H34</f>
        <v>185644.9406</v>
      </c>
      <c r="I34" s="75">
        <f>'[1]2026年度男装汇总分析'!I34</f>
        <v>0</v>
      </c>
      <c r="J34" s="75">
        <f>'[1]2026年度男装汇总分析'!J34</f>
        <v>0</v>
      </c>
      <c r="K34" s="75">
        <f>'[1]2026年度男装汇总分析'!K34</f>
        <v>0</v>
      </c>
      <c r="L34" s="75">
        <f>'[1]2026年度男装汇总分析'!L34</f>
        <v>0</v>
      </c>
      <c r="M34" s="75">
        <f>'[1]2026年度男装汇总分析'!M34</f>
        <v>0</v>
      </c>
      <c r="N34" s="75">
        <f>'[1]2026年度男装汇总分析'!N34</f>
        <v>0</v>
      </c>
      <c r="O34" s="22">
        <f t="shared" si="5"/>
        <v>4343221.9598</v>
      </c>
      <c r="Q34" s="65"/>
      <c r="BP34" s="84"/>
      <c r="BQ34" s="99"/>
      <c r="BR34" s="99"/>
      <c r="BS34" s="99"/>
      <c r="BT34" s="99"/>
      <c r="BU34" s="99"/>
      <c r="BV34" s="99"/>
      <c r="BW34" s="99"/>
      <c r="BX34" s="99"/>
      <c r="BY34" s="99"/>
      <c r="BZ34" s="99"/>
      <c r="CA34" s="99"/>
      <c r="CB34" s="99"/>
      <c r="CC34" s="100"/>
      <c r="CD34" s="100"/>
      <c r="CE34" s="100"/>
    </row>
    <row r="35" s="64" customFormat="1" spans="1:83">
      <c r="A35" s="70">
        <f>'[1]特别隐藏版（勿动、勿看）'!A35</f>
        <v>0</v>
      </c>
      <c r="B35" s="67" t="str">
        <f>'[1]特别隐藏版（勿动、勿看）'!B35</f>
        <v>退款率</v>
      </c>
      <c r="C35" s="14">
        <f>1-C34*12.5/C33</f>
        <v>0.690403504378611</v>
      </c>
      <c r="D35" s="14">
        <f t="shared" ref="D35:O35" si="6">1-D34*12.5/D33</f>
        <v>0.713085641915568</v>
      </c>
      <c r="E35" s="14">
        <f t="shared" si="6"/>
        <v>0.744383888889705</v>
      </c>
      <c r="F35" s="14">
        <f t="shared" si="6"/>
        <v>0.708815495578813</v>
      </c>
      <c r="G35" s="14">
        <f t="shared" si="6"/>
        <v>0.676955236686802</v>
      </c>
      <c r="H35" s="14">
        <f t="shared" si="6"/>
        <v>0.69362188606391</v>
      </c>
      <c r="I35" s="14" t="e">
        <f t="shared" si="6"/>
        <v>#DIV/0!</v>
      </c>
      <c r="J35" s="14" t="e">
        <f t="shared" si="6"/>
        <v>#DIV/0!</v>
      </c>
      <c r="K35" s="14" t="e">
        <f t="shared" si="6"/>
        <v>#DIV/0!</v>
      </c>
      <c r="L35" s="14" t="e">
        <f t="shared" si="6"/>
        <v>#DIV/0!</v>
      </c>
      <c r="M35" s="14" t="e">
        <f t="shared" si="6"/>
        <v>#DIV/0!</v>
      </c>
      <c r="N35" s="14" t="e">
        <f t="shared" si="6"/>
        <v>#DIV/0!</v>
      </c>
      <c r="O35" s="14">
        <f t="shared" si="6"/>
        <v>0.708802105145241</v>
      </c>
      <c r="BP35" s="100"/>
      <c r="BQ35" s="101"/>
      <c r="BR35" s="101"/>
      <c r="BS35" s="101"/>
      <c r="BT35" s="101"/>
      <c r="BU35" s="101"/>
      <c r="BV35" s="101"/>
      <c r="BW35" s="101"/>
      <c r="BX35" s="101"/>
      <c r="BY35" s="101"/>
      <c r="BZ35" s="101"/>
      <c r="CA35" s="101"/>
      <c r="CB35" s="101"/>
      <c r="CC35" s="100"/>
      <c r="CD35" s="100"/>
      <c r="CE35" s="100"/>
    </row>
    <row r="36" s="64" customFormat="1" spans="1:83">
      <c r="A36" s="70">
        <f>'[1]特别隐藏版（勿动、勿看）'!A36</f>
        <v>0</v>
      </c>
      <c r="B36" s="67" t="str">
        <f>'[1]特别隐藏版（勿动、勿看）'!B36</f>
        <v>退货率</v>
      </c>
      <c r="C36" s="14">
        <f>1-C32/C31</f>
        <v>0.718278731149246</v>
      </c>
      <c r="D36" s="14">
        <f t="shared" ref="D36:O36" si="7">1-D32/D31</f>
        <v>0.744375419744795</v>
      </c>
      <c r="E36" s="14">
        <f t="shared" si="7"/>
        <v>0.759741902834008</v>
      </c>
      <c r="F36" s="14">
        <f t="shared" si="7"/>
        <v>0.747212336892052</v>
      </c>
      <c r="G36" s="14">
        <f t="shared" si="7"/>
        <v>0.719339199138086</v>
      </c>
      <c r="H36" s="14">
        <f t="shared" si="7"/>
        <v>0.698044009779951</v>
      </c>
      <c r="I36" s="14" t="e">
        <f t="shared" si="7"/>
        <v>#DIV/0!</v>
      </c>
      <c r="J36" s="14" t="e">
        <f t="shared" si="7"/>
        <v>#DIV/0!</v>
      </c>
      <c r="K36" s="14" t="e">
        <f t="shared" si="7"/>
        <v>#DIV/0!</v>
      </c>
      <c r="L36" s="14" t="e">
        <f t="shared" si="7"/>
        <v>#DIV/0!</v>
      </c>
      <c r="M36" s="14" t="e">
        <f t="shared" si="7"/>
        <v>#DIV/0!</v>
      </c>
      <c r="N36" s="14" t="e">
        <f t="shared" si="7"/>
        <v>#DIV/0!</v>
      </c>
      <c r="O36" s="14">
        <f t="shared" si="7"/>
        <v>0.738103516213523</v>
      </c>
      <c r="BP36" s="100"/>
      <c r="BQ36" s="101"/>
      <c r="BR36" s="101"/>
      <c r="BS36" s="101"/>
      <c r="BT36" s="101"/>
      <c r="BU36" s="101"/>
      <c r="BV36" s="101"/>
      <c r="BW36" s="101"/>
      <c r="BX36" s="101"/>
      <c r="BY36" s="101"/>
      <c r="BZ36" s="101"/>
      <c r="CA36" s="101"/>
      <c r="CB36" s="101"/>
      <c r="CC36" s="100"/>
      <c r="CD36" s="100"/>
      <c r="CE36" s="100"/>
    </row>
    <row r="37" s="64" customFormat="1" spans="1:83">
      <c r="A37" s="76">
        <f>'[1]特别隐藏版（勿动、勿看）'!A37</f>
        <v>0</v>
      </c>
      <c r="B37" s="67" t="str">
        <f>'[1]特别隐藏版（勿动、勿看）'!B37</f>
        <v>利润率</v>
      </c>
      <c r="C37" s="14">
        <f>C30/(C34)</f>
        <v>0.121543906824287</v>
      </c>
      <c r="D37" s="14">
        <f t="shared" ref="D37:O37" si="8">D30/(D34)</f>
        <v>0.100913304397759</v>
      </c>
      <c r="E37" s="14">
        <f t="shared" si="8"/>
        <v>0.0414699567466943</v>
      </c>
      <c r="F37" s="14">
        <f t="shared" si="8"/>
        <v>0.0616780950056489</v>
      </c>
      <c r="G37" s="14">
        <f t="shared" si="8"/>
        <v>0.094867445992689</v>
      </c>
      <c r="H37" s="14">
        <f t="shared" si="8"/>
        <v>0.169106132245491</v>
      </c>
      <c r="I37" s="14" t="e">
        <f t="shared" si="8"/>
        <v>#DIV/0!</v>
      </c>
      <c r="J37" s="14" t="e">
        <f t="shared" si="8"/>
        <v>#DIV/0!</v>
      </c>
      <c r="K37" s="14" t="e">
        <f t="shared" si="8"/>
        <v>#DIV/0!</v>
      </c>
      <c r="L37" s="14" t="e">
        <f t="shared" si="8"/>
        <v>#DIV/0!</v>
      </c>
      <c r="M37" s="14" t="e">
        <f t="shared" si="8"/>
        <v>#DIV/0!</v>
      </c>
      <c r="N37" s="14" t="e">
        <f t="shared" si="8"/>
        <v>#DIV/0!</v>
      </c>
      <c r="O37" s="14">
        <f t="shared" si="8"/>
        <v>0.0892300197590196</v>
      </c>
      <c r="BP37" s="100"/>
      <c r="BQ37" s="101"/>
      <c r="BR37" s="101"/>
      <c r="BS37" s="101"/>
      <c r="BT37" s="101"/>
      <c r="BU37" s="101"/>
      <c r="BV37" s="101"/>
      <c r="BW37" s="101"/>
      <c r="BX37" s="101"/>
      <c r="BY37" s="101"/>
      <c r="BZ37" s="101"/>
      <c r="CA37" s="101"/>
      <c r="CB37" s="101"/>
      <c r="CC37" s="100"/>
      <c r="CD37" s="100"/>
      <c r="CE37" s="100"/>
    </row>
    <row r="38" s="64" customFormat="1" spans="1:15">
      <c r="A38" s="69" t="str">
        <f>'[1]特别隐藏版（勿动、勿看）'!A38</f>
        <v>LXTF2店</v>
      </c>
      <c r="B38" s="75" t="str">
        <f>'[1]特别隐藏版（勿动、勿看）'!B38</f>
        <v>实际利润（人民币）</v>
      </c>
      <c r="C38" s="75">
        <f>'[1]2026年度男装汇总分析'!C38</f>
        <v>87149.73</v>
      </c>
      <c r="D38" s="75">
        <f>'[1]2026年度男装汇总分析'!D38</f>
        <v>219445.1</v>
      </c>
      <c r="E38" s="75">
        <f>'[1]2026年度男装汇总分析'!E38</f>
        <v>53171.99</v>
      </c>
      <c r="F38" s="75">
        <f>'[1]2026年度男装汇总分析'!F38</f>
        <v>99083.11</v>
      </c>
      <c r="G38" s="75">
        <f>'[1]2026年度男装汇总分析'!G38</f>
        <v>105724.500133215</v>
      </c>
      <c r="H38" s="75">
        <f>'[1]2026年度男装汇总分析'!H38</f>
        <v>24878.6113452192</v>
      </c>
      <c r="I38" s="75">
        <f>'[1]2026年度男装汇总分析'!I38</f>
        <v>0</v>
      </c>
      <c r="J38" s="75">
        <f>'[1]2026年度男装汇总分析'!J38</f>
        <v>0</v>
      </c>
      <c r="K38" s="75">
        <f>'[1]2026年度男装汇总分析'!K38</f>
        <v>0</v>
      </c>
      <c r="L38" s="75">
        <f>'[1]2026年度男装汇总分析'!L38</f>
        <v>0</v>
      </c>
      <c r="M38" s="75">
        <f>'[1]2026年度男装汇总分析'!M38</f>
        <v>0</v>
      </c>
      <c r="N38" s="75">
        <f>'[1]2026年度男装汇总分析'!N38</f>
        <v>0</v>
      </c>
      <c r="O38" s="22">
        <f t="shared" si="5"/>
        <v>589453.041478434</v>
      </c>
    </row>
    <row r="39" s="64" customFormat="1" spans="1:15">
      <c r="A39" s="70">
        <f>'[1]特别隐藏版（勿动、勿看）'!A39</f>
        <v>0</v>
      </c>
      <c r="B39" s="67" t="str">
        <f>'[1]特别隐藏版（勿动、勿看）'!B39</f>
        <v>销量完成</v>
      </c>
      <c r="C39" s="67">
        <f>'[1]2026年度男装汇总分析'!C39</f>
        <v>6846</v>
      </c>
      <c r="D39" s="67">
        <f>'[1]2026年度男装汇总分析'!D39</f>
        <v>12313</v>
      </c>
      <c r="E39" s="67">
        <f>'[1]2026年度男装汇总分析'!E39</f>
        <v>6346</v>
      </c>
      <c r="F39" s="67">
        <f>'[1]2026年度男装汇总分析'!F39</f>
        <v>8877</v>
      </c>
      <c r="G39" s="67">
        <f>'[1]2026年度男装汇总分析'!G39</f>
        <v>5984</v>
      </c>
      <c r="H39" s="67">
        <f>'[1]2026年度男装汇总分析'!H39</f>
        <v>1370</v>
      </c>
      <c r="I39" s="67">
        <f>'[1]2026年度男装汇总分析'!I39</f>
        <v>0</v>
      </c>
      <c r="J39" s="67">
        <f>'[1]2026年度男装汇总分析'!J39</f>
        <v>0</v>
      </c>
      <c r="K39" s="67">
        <f>'[1]2026年度男装汇总分析'!K39</f>
        <v>0</v>
      </c>
      <c r="L39" s="67">
        <f>'[1]2026年度男装汇总分析'!L39</f>
        <v>0</v>
      </c>
      <c r="M39" s="67">
        <f>'[1]2026年度男装汇总分析'!M39</f>
        <v>0</v>
      </c>
      <c r="N39" s="67">
        <f>'[1]2026年度男装汇总分析'!N39</f>
        <v>0</v>
      </c>
      <c r="O39" s="1">
        <f t="shared" si="5"/>
        <v>41736</v>
      </c>
    </row>
    <row r="40" s="64" customFormat="1" ht="17.4" spans="1:83">
      <c r="A40" s="70">
        <f>'[1]特别隐藏版（勿动、勿看）'!A40</f>
        <v>0</v>
      </c>
      <c r="B40" s="67" t="str">
        <f>'[1]特别隐藏版（勿动、勿看）'!B40</f>
        <v>实销完成</v>
      </c>
      <c r="C40" s="67">
        <f>'[1]2026年度男装汇总分析'!C40</f>
        <v>2045</v>
      </c>
      <c r="D40" s="67">
        <f>'[1]2026年度男装汇总分析'!D40</f>
        <v>3425</v>
      </c>
      <c r="E40" s="67">
        <f>'[1]2026年度男装汇总分析'!E40</f>
        <v>1778</v>
      </c>
      <c r="F40" s="67">
        <f>'[1]2026年度男装汇总分析'!F40</f>
        <v>2609</v>
      </c>
      <c r="G40" s="67">
        <f>'[1]2026年度男装汇总分析'!G40</f>
        <v>1837</v>
      </c>
      <c r="H40" s="67">
        <f>'[1]2026年度男装汇总分析'!H40</f>
        <v>418</v>
      </c>
      <c r="I40" s="67">
        <f>'[1]2026年度男装汇总分析'!I40</f>
        <v>0</v>
      </c>
      <c r="J40" s="67">
        <f>'[1]2026年度男装汇总分析'!J40</f>
        <v>0</v>
      </c>
      <c r="K40" s="67">
        <f>'[1]2026年度男装汇总分析'!K40</f>
        <v>0</v>
      </c>
      <c r="L40" s="67">
        <f>'[1]2026年度男装汇总分析'!L40</f>
        <v>0</v>
      </c>
      <c r="M40" s="67">
        <f>'[1]2026年度男装汇总分析'!M40</f>
        <v>0</v>
      </c>
      <c r="N40" s="67">
        <f>'[1]2026年度男装汇总分析'!N40</f>
        <v>0</v>
      </c>
      <c r="O40" s="1">
        <f t="shared" si="5"/>
        <v>12112</v>
      </c>
      <c r="BP40" s="83"/>
      <c r="BQ40" s="83"/>
      <c r="BR40" s="83"/>
      <c r="BS40" s="83"/>
      <c r="BT40" s="83"/>
      <c r="BU40" s="83"/>
      <c r="BV40" s="83"/>
      <c r="BW40" s="83"/>
      <c r="BX40" s="83"/>
      <c r="BY40" s="83"/>
      <c r="BZ40" s="83"/>
      <c r="CA40" s="83"/>
      <c r="CB40" s="83"/>
      <c r="CC40" s="67"/>
      <c r="CD40" s="67"/>
      <c r="CE40" s="111"/>
    </row>
    <row r="41" s="64" customFormat="1" spans="1:83">
      <c r="A41" s="70">
        <f>'[1]特别隐藏版（勿动、勿看）'!A41</f>
        <v>0</v>
      </c>
      <c r="B41" s="74" t="str">
        <f>'[1]特别隐藏版（勿动、勿看）'!B41</f>
        <v>GMV完成</v>
      </c>
      <c r="C41" s="74">
        <f>'[1]2026年度男装汇总分析'!C41</f>
        <v>29395955</v>
      </c>
      <c r="D41" s="74">
        <f>'[1]2026年度男装汇总分析'!D41</f>
        <v>54186589</v>
      </c>
      <c r="E41" s="74">
        <f>'[1]2026年度男装汇总分析'!E41</f>
        <v>29718775</v>
      </c>
      <c r="F41" s="74">
        <f>'[1]2026年度男装汇总分析'!F41</f>
        <v>40066145</v>
      </c>
      <c r="G41" s="74">
        <f>'[1]2026年度男装汇总分析'!G41</f>
        <v>25655595</v>
      </c>
      <c r="H41" s="74">
        <f>'[1]2026年度男装汇总分析'!H41</f>
        <v>6330356</v>
      </c>
      <c r="I41" s="74">
        <f>'[1]2026年度男装汇总分析'!I41</f>
        <v>0</v>
      </c>
      <c r="J41" s="74">
        <f>'[1]2026年度男装汇总分析'!J41</f>
        <v>0</v>
      </c>
      <c r="K41" s="74">
        <f>'[1]2026年度男装汇总分析'!K41</f>
        <v>0</v>
      </c>
      <c r="L41" s="74">
        <f>'[1]2026年度男装汇总分析'!L41</f>
        <v>0</v>
      </c>
      <c r="M41" s="74">
        <f>'[1]2026年度男装汇总分析'!M41</f>
        <v>0</v>
      </c>
      <c r="N41" s="74">
        <f>'[1]2026年度男装汇总分析'!N41</f>
        <v>0</v>
      </c>
      <c r="O41" s="81">
        <f t="shared" si="5"/>
        <v>185353415</v>
      </c>
      <c r="Q41" s="66"/>
      <c r="BP41" s="67"/>
      <c r="BQ41" s="2"/>
      <c r="BR41" s="2"/>
      <c r="BS41" s="2"/>
      <c r="BT41" s="3"/>
      <c r="BU41" s="3"/>
      <c r="BV41" s="3"/>
      <c r="BW41" s="25"/>
      <c r="BX41" s="25"/>
      <c r="BY41" s="25"/>
      <c r="BZ41" s="26"/>
      <c r="CA41" s="26"/>
      <c r="CB41" s="26"/>
      <c r="CC41" s="67"/>
      <c r="CD41" s="67"/>
      <c r="CE41" s="111"/>
    </row>
    <row r="42" s="64" customFormat="1" spans="1:83">
      <c r="A42" s="70">
        <f>'[1]特别隐藏版（勿动、勿看）'!A42</f>
        <v>0</v>
      </c>
      <c r="B42" s="75" t="str">
        <f>'[1]特别隐藏版（勿动、勿看）'!B42</f>
        <v>GSV完成</v>
      </c>
      <c r="C42" s="75">
        <f>'[1]2026年度男装汇总分析'!C42</f>
        <v>724801.18</v>
      </c>
      <c r="D42" s="75">
        <f>'[1]2026年度男装汇总分析'!D42</f>
        <v>1376012.34</v>
      </c>
      <c r="E42" s="75">
        <f>'[1]2026年度男装汇总分析'!E42</f>
        <v>729031.55</v>
      </c>
      <c r="F42" s="75">
        <f>'[1]2026年度男装汇总分析'!F42</f>
        <v>1044149.57</v>
      </c>
      <c r="G42" s="75">
        <f>'[1]2026年度男装汇总分析'!G42</f>
        <v>766748.3629</v>
      </c>
      <c r="H42" s="75">
        <f>'[1]2026年度男装汇总分析'!H42</f>
        <v>162763.4057</v>
      </c>
      <c r="I42" s="75">
        <f>'[1]2026年度男装汇总分析'!I42</f>
        <v>0</v>
      </c>
      <c r="J42" s="75">
        <f>'[1]2026年度男装汇总分析'!J42</f>
        <v>0</v>
      </c>
      <c r="K42" s="75">
        <f>'[1]2026年度男装汇总分析'!K42</f>
        <v>0</v>
      </c>
      <c r="L42" s="75">
        <f>'[1]2026年度男装汇总分析'!L42</f>
        <v>0</v>
      </c>
      <c r="M42" s="75">
        <f>'[1]2026年度男装汇总分析'!M42</f>
        <v>0</v>
      </c>
      <c r="N42" s="75">
        <f>'[1]2026年度男装汇总分析'!N42</f>
        <v>0</v>
      </c>
      <c r="O42" s="22">
        <f t="shared" si="5"/>
        <v>4803506.4086</v>
      </c>
      <c r="Q42" s="65"/>
      <c r="BP42" s="67"/>
      <c r="BQ42" s="67"/>
      <c r="BR42" s="67"/>
      <c r="BS42" s="67"/>
      <c r="BT42" s="67"/>
      <c r="BU42" s="67"/>
      <c r="BV42" s="67"/>
      <c r="BW42" s="67"/>
      <c r="BX42" s="67"/>
      <c r="BY42" s="67"/>
      <c r="BZ42" s="67"/>
      <c r="CA42" s="67"/>
      <c r="CB42" s="67"/>
      <c r="CC42" s="67"/>
      <c r="CD42" s="67"/>
      <c r="CE42" s="111"/>
    </row>
    <row r="43" s="64" customFormat="1" spans="1:83">
      <c r="A43" s="70">
        <f>'[1]特别隐藏版（勿动、勿看）'!A43</f>
        <v>0</v>
      </c>
      <c r="B43" s="67" t="str">
        <f>'[1]特别隐藏版（勿动、勿看）'!B43</f>
        <v>退款率</v>
      </c>
      <c r="C43" s="14">
        <f t="shared" ref="C43:O43" si="9">1-C42*12.5/C41</f>
        <v>0.6917938284366</v>
      </c>
      <c r="D43" s="14">
        <f t="shared" si="9"/>
        <v>0.682575438546243</v>
      </c>
      <c r="E43" s="14">
        <f t="shared" si="9"/>
        <v>0.693362382029542</v>
      </c>
      <c r="F43" s="14">
        <f t="shared" si="9"/>
        <v>0.674241941045239</v>
      </c>
      <c r="G43" s="14">
        <f t="shared" si="9"/>
        <v>0.626422441722751</v>
      </c>
      <c r="H43" s="14">
        <f t="shared" si="9"/>
        <v>0.678605346800401</v>
      </c>
      <c r="I43" s="14" t="e">
        <f t="shared" si="9"/>
        <v>#DIV/0!</v>
      </c>
      <c r="J43" s="14" t="e">
        <f t="shared" si="9"/>
        <v>#DIV/0!</v>
      </c>
      <c r="K43" s="14" t="e">
        <f t="shared" si="9"/>
        <v>#DIV/0!</v>
      </c>
      <c r="L43" s="14" t="e">
        <f t="shared" si="9"/>
        <v>#DIV/0!</v>
      </c>
      <c r="M43" s="14" t="e">
        <f t="shared" si="9"/>
        <v>#DIV/0!</v>
      </c>
      <c r="N43" s="14" t="e">
        <f t="shared" si="9"/>
        <v>#DIV/0!</v>
      </c>
      <c r="O43" s="14">
        <f t="shared" si="9"/>
        <v>0.676057599977319</v>
      </c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111"/>
    </row>
    <row r="44" s="64" customFormat="1" spans="1:83">
      <c r="A44" s="70">
        <f>'[1]特别隐藏版（勿动、勿看）'!A44</f>
        <v>0</v>
      </c>
      <c r="B44" s="67" t="str">
        <f>'[1]特别隐藏版（勿动、勿看）'!B44</f>
        <v>退货率</v>
      </c>
      <c r="C44" s="14">
        <f t="shared" ref="C44:O44" si="10">1-C40/C39</f>
        <v>0.701285422144318</v>
      </c>
      <c r="D44" s="14">
        <f t="shared" si="10"/>
        <v>0.721838707057581</v>
      </c>
      <c r="E44" s="14">
        <f t="shared" si="10"/>
        <v>0.719823510872991</v>
      </c>
      <c r="F44" s="14">
        <f t="shared" si="10"/>
        <v>0.706094401261687</v>
      </c>
      <c r="G44" s="14">
        <f t="shared" si="10"/>
        <v>0.693014705882353</v>
      </c>
      <c r="H44" s="14">
        <f t="shared" si="10"/>
        <v>0.694890510948905</v>
      </c>
      <c r="I44" s="14" t="e">
        <f t="shared" si="10"/>
        <v>#DIV/0!</v>
      </c>
      <c r="J44" s="14" t="e">
        <f t="shared" si="10"/>
        <v>#DIV/0!</v>
      </c>
      <c r="K44" s="14" t="e">
        <f t="shared" si="10"/>
        <v>#DIV/0!</v>
      </c>
      <c r="L44" s="14" t="e">
        <f t="shared" si="10"/>
        <v>#DIV/0!</v>
      </c>
      <c r="M44" s="14" t="e">
        <f t="shared" si="10"/>
        <v>#DIV/0!</v>
      </c>
      <c r="N44" s="14" t="e">
        <f t="shared" si="10"/>
        <v>#DIV/0!</v>
      </c>
      <c r="O44" s="14">
        <f t="shared" si="10"/>
        <v>0.709794901284263</v>
      </c>
      <c r="BP44" s="67"/>
      <c r="BQ44" s="102"/>
      <c r="BR44" s="102"/>
      <c r="BS44" s="102"/>
      <c r="BT44" s="102"/>
      <c r="BU44" s="102"/>
      <c r="BV44" s="102"/>
      <c r="BW44" s="102"/>
      <c r="BX44" s="102"/>
      <c r="BY44" s="102"/>
      <c r="BZ44" s="102"/>
      <c r="CA44" s="102"/>
      <c r="CB44" s="102"/>
      <c r="CC44" s="67"/>
      <c r="CD44" s="67"/>
      <c r="CE44" s="111"/>
    </row>
    <row r="45" s="64" customFormat="1" spans="1:82">
      <c r="A45" s="76">
        <f>'[1]特别隐藏版（勿动、勿看）'!A45</f>
        <v>0</v>
      </c>
      <c r="B45" s="67" t="str">
        <f>'[1]特别隐藏版（勿动、勿看）'!B45</f>
        <v>利润率</v>
      </c>
      <c r="C45" s="14">
        <f t="shared" ref="C45:O45" si="11">C38/(C42)</f>
        <v>0.12023949795446</v>
      </c>
      <c r="D45" s="14">
        <f t="shared" si="11"/>
        <v>0.159479020369832</v>
      </c>
      <c r="E45" s="14">
        <f t="shared" si="11"/>
        <v>0.0729351013683838</v>
      </c>
      <c r="F45" s="14">
        <f t="shared" si="11"/>
        <v>0.0948935984334122</v>
      </c>
      <c r="G45" s="14">
        <f t="shared" si="11"/>
        <v>0.137886828650463</v>
      </c>
      <c r="H45" s="14">
        <f t="shared" si="11"/>
        <v>0.152851381047375</v>
      </c>
      <c r="I45" s="14" t="e">
        <f t="shared" si="11"/>
        <v>#DIV/0!</v>
      </c>
      <c r="J45" s="14" t="e">
        <f t="shared" si="11"/>
        <v>#DIV/0!</v>
      </c>
      <c r="K45" s="14" t="e">
        <f t="shared" si="11"/>
        <v>#DIV/0!</v>
      </c>
      <c r="L45" s="14" t="e">
        <f t="shared" si="11"/>
        <v>#DIV/0!</v>
      </c>
      <c r="M45" s="14" t="e">
        <f t="shared" si="11"/>
        <v>#DIV/0!</v>
      </c>
      <c r="N45" s="14" t="e">
        <f t="shared" si="11"/>
        <v>#DIV/0!</v>
      </c>
      <c r="O45" s="14">
        <f t="shared" si="11"/>
        <v>0.122713074853632</v>
      </c>
      <c r="BP45" s="103"/>
      <c r="BQ45" s="104"/>
      <c r="BR45" s="103"/>
      <c r="BS45" s="103"/>
      <c r="BT45" s="104"/>
      <c r="BU45" s="103"/>
      <c r="BV45" s="103"/>
      <c r="BW45" s="104"/>
      <c r="BX45" s="103"/>
      <c r="BY45" s="103"/>
      <c r="BZ45" s="104"/>
      <c r="CA45" s="103"/>
      <c r="CB45" s="103"/>
      <c r="CC45" s="112"/>
      <c r="CD45" s="113"/>
    </row>
    <row r="46" s="64" customFormat="1" spans="1:82">
      <c r="A46" s="69" t="str">
        <f>'[1]特别隐藏版（勿动、勿看）'!A46</f>
        <v>LXTF4店</v>
      </c>
      <c r="B46" s="75" t="str">
        <f>'[1]特别隐藏版（勿动、勿看）'!B46</f>
        <v>实际利润（人民币）</v>
      </c>
      <c r="C46" s="75">
        <f>'[1]2026年度男装汇总分析'!C46</f>
        <v>19664.47</v>
      </c>
      <c r="D46" s="75">
        <f>'[1]2026年度男装汇总分析'!D46</f>
        <v>40558.93</v>
      </c>
      <c r="E46" s="75">
        <f>'[1]2026年度男装汇总分析'!E46</f>
        <v>3358.53</v>
      </c>
      <c r="F46" s="75">
        <f>'[1]2026年度男装汇总分析'!F46</f>
        <v>80999.07</v>
      </c>
      <c r="G46" s="75">
        <f>'[1]2026年度男装汇总分析'!G46</f>
        <v>54454.5906640612</v>
      </c>
      <c r="H46" s="75">
        <f>'[1]2026年度男装汇总分析'!H46</f>
        <v>11184.0622072288</v>
      </c>
      <c r="I46" s="75">
        <f>'[1]2026年度男装汇总分析'!I46</f>
        <v>0</v>
      </c>
      <c r="J46" s="75">
        <f>'[1]2026年度男装汇总分析'!J46</f>
        <v>0</v>
      </c>
      <c r="K46" s="75">
        <f>'[1]2026年度男装汇总分析'!K46</f>
        <v>0</v>
      </c>
      <c r="L46" s="75">
        <f>'[1]2026年度男装汇总分析'!L46</f>
        <v>0</v>
      </c>
      <c r="M46" s="75">
        <f>'[1]2026年度男装汇总分析'!M46</f>
        <v>0</v>
      </c>
      <c r="N46" s="75">
        <f>'[1]2026年度男装汇总分析'!N46</f>
        <v>0</v>
      </c>
      <c r="O46" s="22">
        <f t="shared" ref="O46:O50" si="12">SUM(C46:N46)</f>
        <v>210219.65287129</v>
      </c>
      <c r="BP46" s="67"/>
      <c r="BQ46" s="72"/>
      <c r="BR46" s="72"/>
      <c r="BS46" s="72"/>
      <c r="BT46" s="72"/>
      <c r="BU46" s="72"/>
      <c r="BV46" s="72"/>
      <c r="BW46" s="72"/>
      <c r="BX46" s="72"/>
      <c r="BY46" s="72"/>
      <c r="BZ46" s="72"/>
      <c r="CA46" s="72"/>
      <c r="CB46" s="72"/>
      <c r="CC46" s="112"/>
      <c r="CD46" s="113"/>
    </row>
    <row r="47" s="64" customFormat="1" spans="1:82">
      <c r="A47" s="70">
        <f>'[1]特别隐藏版（勿动、勿看）'!A47</f>
        <v>0</v>
      </c>
      <c r="B47" s="67" t="str">
        <f>'[1]特别隐藏版（勿动、勿看）'!B47</f>
        <v>销量完成</v>
      </c>
      <c r="C47" s="67">
        <f>'[1]2026年度男装汇总分析'!C47</f>
        <v>2218</v>
      </c>
      <c r="D47" s="67">
        <f>'[1]2026年度男装汇总分析'!D47</f>
        <v>5628</v>
      </c>
      <c r="E47" s="67">
        <f>'[1]2026年度男装汇总分析'!E47</f>
        <v>3837</v>
      </c>
      <c r="F47" s="67">
        <f>'[1]2026年度男装汇总分析'!F47</f>
        <v>6433</v>
      </c>
      <c r="G47" s="67">
        <f>'[1]2026年度男装汇总分析'!G47</f>
        <v>3603</v>
      </c>
      <c r="H47" s="67">
        <f>'[1]2026年度男装汇总分析'!H47</f>
        <v>778</v>
      </c>
      <c r="I47" s="67">
        <f>'[1]2026年度男装汇总分析'!I47</f>
        <v>0</v>
      </c>
      <c r="J47" s="67">
        <f>'[1]2026年度男装汇总分析'!J47</f>
        <v>0</v>
      </c>
      <c r="K47" s="67">
        <f>'[1]2026年度男装汇总分析'!K47</f>
        <v>0</v>
      </c>
      <c r="L47" s="67">
        <f>'[1]2026年度男装汇总分析'!L47</f>
        <v>0</v>
      </c>
      <c r="M47" s="67">
        <f>'[1]2026年度男装汇总分析'!M47</f>
        <v>0</v>
      </c>
      <c r="N47" s="67">
        <f>'[1]2026年度男装汇总分析'!N47</f>
        <v>0</v>
      </c>
      <c r="O47" s="1">
        <f t="shared" si="12"/>
        <v>22497</v>
      </c>
      <c r="BP47" s="103"/>
      <c r="BQ47" s="105"/>
      <c r="BR47" s="105"/>
      <c r="BS47" s="105"/>
      <c r="BT47" s="105"/>
      <c r="BU47" s="105"/>
      <c r="BV47" s="105"/>
      <c r="BW47" s="105"/>
      <c r="BX47" s="105"/>
      <c r="BY47" s="105"/>
      <c r="BZ47" s="105"/>
      <c r="CA47" s="105"/>
      <c r="CB47" s="105"/>
      <c r="CC47" s="112"/>
      <c r="CD47" s="113"/>
    </row>
    <row r="48" s="64" customFormat="1" spans="1:82">
      <c r="A48" s="70">
        <f>'[1]特别隐藏版（勿动、勿看）'!A48</f>
        <v>0</v>
      </c>
      <c r="B48" s="67" t="str">
        <f>'[1]特别隐藏版（勿动、勿看）'!B48</f>
        <v>实销完成</v>
      </c>
      <c r="C48" s="67">
        <f>'[1]2026年度男装汇总分析'!C48</f>
        <v>652</v>
      </c>
      <c r="D48" s="67">
        <f>'[1]2026年度男装汇总分析'!D48</f>
        <v>1522</v>
      </c>
      <c r="E48" s="67">
        <f>'[1]2026年度男装汇总分析'!E48</f>
        <v>942</v>
      </c>
      <c r="F48" s="67">
        <f>'[1]2026年度男装汇总分析'!F48</f>
        <v>1816</v>
      </c>
      <c r="G48" s="67">
        <f>'[1]2026年度男装汇总分析'!G48</f>
        <v>1074</v>
      </c>
      <c r="H48" s="67">
        <f>'[1]2026年度男装汇总分析'!H48</f>
        <v>252</v>
      </c>
      <c r="I48" s="67">
        <f>'[1]2026年度男装汇总分析'!I48</f>
        <v>0</v>
      </c>
      <c r="J48" s="67">
        <f>'[1]2026年度男装汇总分析'!J48</f>
        <v>0</v>
      </c>
      <c r="K48" s="67">
        <f>'[1]2026年度男装汇总分析'!K48</f>
        <v>0</v>
      </c>
      <c r="L48" s="67">
        <f>'[1]2026年度男装汇总分析'!L48</f>
        <v>0</v>
      </c>
      <c r="M48" s="67">
        <f>'[1]2026年度男装汇总分析'!M48</f>
        <v>0</v>
      </c>
      <c r="N48" s="67">
        <f>'[1]2026年度男装汇总分析'!N48</f>
        <v>0</v>
      </c>
      <c r="O48" s="1">
        <f t="shared" si="12"/>
        <v>6258</v>
      </c>
      <c r="BP48" s="103"/>
      <c r="BQ48" s="103"/>
      <c r="BR48" s="103"/>
      <c r="BS48" s="103"/>
      <c r="BT48" s="103"/>
      <c r="BU48" s="103"/>
      <c r="BV48" s="103"/>
      <c r="BW48" s="103"/>
      <c r="BX48" s="103"/>
      <c r="BY48" s="103"/>
      <c r="BZ48" s="103"/>
      <c r="CA48" s="103"/>
      <c r="CB48" s="103"/>
      <c r="CC48" s="106"/>
      <c r="CD48" s="107"/>
    </row>
    <row r="49" s="64" customFormat="1" spans="1:82">
      <c r="A49" s="70">
        <f>'[1]特别隐藏版（勿动、勿看）'!A49</f>
        <v>0</v>
      </c>
      <c r="B49" s="74" t="str">
        <f>'[1]特别隐藏版（勿动、勿看）'!B49</f>
        <v>GMV完成</v>
      </c>
      <c r="C49" s="74">
        <f>'[1]2026年度男装汇总分析'!C49</f>
        <v>10051298</v>
      </c>
      <c r="D49" s="74">
        <f>'[1]2026年度男装汇总分析'!D49</f>
        <v>23601988</v>
      </c>
      <c r="E49" s="74">
        <f>'[1]2026年度男装汇总分析'!E49</f>
        <v>17122483</v>
      </c>
      <c r="F49" s="74">
        <f>'[1]2026年度男装汇总分析'!F49</f>
        <v>26000920</v>
      </c>
      <c r="G49" s="74">
        <f>'[1]2026年度男装汇总分析'!G49</f>
        <v>13595716</v>
      </c>
      <c r="H49" s="74">
        <f>'[1]2026年度男装汇总分析'!H49</f>
        <v>3352359</v>
      </c>
      <c r="I49" s="74">
        <f>'[1]2026年度男装汇总分析'!I49</f>
        <v>0</v>
      </c>
      <c r="J49" s="74">
        <f>'[1]2026年度男装汇总分析'!J49</f>
        <v>0</v>
      </c>
      <c r="K49" s="74">
        <f>'[1]2026年度男装汇总分析'!K49</f>
        <v>0</v>
      </c>
      <c r="L49" s="74">
        <f>'[1]2026年度男装汇总分析'!L49</f>
        <v>0</v>
      </c>
      <c r="M49" s="74">
        <f>'[1]2026年度男装汇总分析'!M49</f>
        <v>0</v>
      </c>
      <c r="N49" s="74">
        <f>'[1]2026年度男装汇总分析'!N49</f>
        <v>0</v>
      </c>
      <c r="O49" s="81">
        <f t="shared" si="12"/>
        <v>93724764</v>
      </c>
      <c r="Q49" s="66"/>
      <c r="BP49" s="106"/>
      <c r="BQ49" s="107"/>
      <c r="BR49" s="107"/>
      <c r="BS49" s="107"/>
      <c r="BT49" s="107"/>
      <c r="BU49" s="107"/>
      <c r="BV49" s="107"/>
      <c r="BW49" s="107"/>
      <c r="BX49" s="107"/>
      <c r="BY49" s="107"/>
      <c r="BZ49" s="107"/>
      <c r="CA49" s="107"/>
      <c r="CB49" s="107"/>
      <c r="CC49" s="106"/>
      <c r="CD49" s="107"/>
    </row>
    <row r="50" s="64" customFormat="1" spans="1:82">
      <c r="A50" s="70">
        <f>'[1]特别隐藏版（勿动、勿看）'!A50</f>
        <v>0</v>
      </c>
      <c r="B50" s="75" t="str">
        <f>'[1]特别隐藏版（勿动、勿看）'!B50</f>
        <v>GSV完成</v>
      </c>
      <c r="C50" s="75">
        <f>'[1]2026年度男装汇总分析'!C50</f>
        <v>243663.93</v>
      </c>
      <c r="D50" s="75">
        <f>'[1]2026年度男装汇总分析'!D50</f>
        <v>559323.77</v>
      </c>
      <c r="E50" s="75">
        <f>'[1]2026年度男装汇总分析'!E50</f>
        <v>361220.61</v>
      </c>
      <c r="F50" s="75">
        <f>'[1]2026年度男装汇总分析'!F50</f>
        <v>658949.99</v>
      </c>
      <c r="G50" s="75">
        <f>'[1]2026年度男装汇总分析'!G50</f>
        <v>407799.909</v>
      </c>
      <c r="H50" s="75">
        <f>'[1]2026年度男装汇总分析'!H50</f>
        <v>90790.1303</v>
      </c>
      <c r="I50" s="75">
        <f>'[1]2026年度男装汇总分析'!I50</f>
        <v>0</v>
      </c>
      <c r="J50" s="75">
        <f>'[1]2026年度男装汇总分析'!J50</f>
        <v>0</v>
      </c>
      <c r="K50" s="75">
        <f>'[1]2026年度男装汇总分析'!K50</f>
        <v>0</v>
      </c>
      <c r="L50" s="75">
        <f>'[1]2026年度男装汇总分析'!L50</f>
        <v>0</v>
      </c>
      <c r="M50" s="75">
        <f>'[1]2026年度男装汇总分析'!M50</f>
        <v>0</v>
      </c>
      <c r="N50" s="75">
        <f>'[1]2026年度男装汇总分析'!N50</f>
        <v>0</v>
      </c>
      <c r="O50" s="22">
        <f t="shared" si="12"/>
        <v>2321748.3393</v>
      </c>
      <c r="Q50" s="65"/>
      <c r="BP50" s="106"/>
      <c r="BQ50" s="107"/>
      <c r="BR50" s="107"/>
      <c r="BS50" s="107"/>
      <c r="BT50" s="107"/>
      <c r="BU50" s="107"/>
      <c r="BV50" s="107"/>
      <c r="BW50" s="107"/>
      <c r="BX50" s="107"/>
      <c r="BY50" s="107"/>
      <c r="BZ50" s="107"/>
      <c r="CA50" s="107"/>
      <c r="CB50" s="107"/>
      <c r="CC50" s="107"/>
      <c r="CD50" s="107"/>
    </row>
    <row r="51" s="64" customFormat="1" spans="1:80">
      <c r="A51" s="70">
        <f>'[1]特别隐藏版（勿动、勿看）'!A51</f>
        <v>0</v>
      </c>
      <c r="B51" s="67" t="str">
        <f>'[1]特别隐藏版（勿动、勿看）'!B51</f>
        <v>退款率</v>
      </c>
      <c r="C51" s="14">
        <f t="shared" ref="C51:O51" si="13">1-C50*12.5/C49</f>
        <v>0.696974547466407</v>
      </c>
      <c r="D51" s="14">
        <f t="shared" si="13"/>
        <v>0.70377295654078</v>
      </c>
      <c r="E51" s="14">
        <f t="shared" si="13"/>
        <v>0.736296562537104</v>
      </c>
      <c r="F51" s="14">
        <f t="shared" si="13"/>
        <v>0.683208329743717</v>
      </c>
      <c r="G51" s="14">
        <f t="shared" si="13"/>
        <v>0.62506580289703</v>
      </c>
      <c r="H51" s="14">
        <f t="shared" si="13"/>
        <v>0.661469243374591</v>
      </c>
      <c r="I51" s="14" t="e">
        <f t="shared" si="13"/>
        <v>#DIV/0!</v>
      </c>
      <c r="J51" s="14" t="e">
        <f t="shared" si="13"/>
        <v>#DIV/0!</v>
      </c>
      <c r="K51" s="14" t="e">
        <f t="shared" si="13"/>
        <v>#DIV/0!</v>
      </c>
      <c r="L51" s="14" t="e">
        <f t="shared" si="13"/>
        <v>#DIV/0!</v>
      </c>
      <c r="M51" s="14" t="e">
        <f t="shared" si="13"/>
        <v>#DIV/0!</v>
      </c>
      <c r="N51" s="14" t="e">
        <f t="shared" si="13"/>
        <v>#DIV/0!</v>
      </c>
      <c r="O51" s="14">
        <f t="shared" si="13"/>
        <v>0.690350201988772</v>
      </c>
      <c r="BP51" s="106"/>
      <c r="BQ51" s="107"/>
      <c r="BR51" s="107"/>
      <c r="BS51" s="107"/>
      <c r="BT51" s="107"/>
      <c r="BU51" s="107"/>
      <c r="BV51" s="107"/>
      <c r="BW51" s="107"/>
      <c r="BX51" s="107"/>
      <c r="BY51" s="107"/>
      <c r="BZ51" s="107"/>
      <c r="CA51" s="107"/>
      <c r="CB51" s="107"/>
    </row>
    <row r="52" s="64" customFormat="1" spans="1:15">
      <c r="A52" s="70">
        <f>'[1]特别隐藏版（勿动、勿看）'!A52</f>
        <v>0</v>
      </c>
      <c r="B52" s="67" t="str">
        <f>'[1]特别隐藏版（勿动、勿看）'!B52</f>
        <v>退货率</v>
      </c>
      <c r="C52" s="14">
        <f t="shared" ref="C52:O52" si="14">1-C48/C47</f>
        <v>0.706041478809738</v>
      </c>
      <c r="D52" s="14">
        <f t="shared" si="14"/>
        <v>0.729566453447051</v>
      </c>
      <c r="E52" s="14">
        <f t="shared" si="14"/>
        <v>0.754495699765442</v>
      </c>
      <c r="F52" s="14">
        <f t="shared" si="14"/>
        <v>0.717705580600031</v>
      </c>
      <c r="G52" s="14">
        <f t="shared" si="14"/>
        <v>0.701915070774355</v>
      </c>
      <c r="H52" s="14">
        <f t="shared" si="14"/>
        <v>0.676092544987147</v>
      </c>
      <c r="I52" s="14" t="e">
        <f t="shared" si="14"/>
        <v>#DIV/0!</v>
      </c>
      <c r="J52" s="14" t="e">
        <f t="shared" si="14"/>
        <v>#DIV/0!</v>
      </c>
      <c r="K52" s="14" t="e">
        <f t="shared" si="14"/>
        <v>#DIV/0!</v>
      </c>
      <c r="L52" s="14" t="e">
        <f t="shared" si="14"/>
        <v>#DIV/0!</v>
      </c>
      <c r="M52" s="14" t="e">
        <f t="shared" si="14"/>
        <v>#DIV/0!</v>
      </c>
      <c r="N52" s="14" t="e">
        <f t="shared" si="14"/>
        <v>#DIV/0!</v>
      </c>
      <c r="O52" s="14">
        <f t="shared" si="14"/>
        <v>0.72182957727697</v>
      </c>
    </row>
    <row r="53" s="64" customFormat="1" spans="1:15">
      <c r="A53" s="76">
        <f>'[1]特别隐藏版（勿动、勿看）'!A53</f>
        <v>0</v>
      </c>
      <c r="B53" s="67" t="str">
        <f>'[1]特别隐藏版（勿动、勿看）'!B53</f>
        <v>利润率</v>
      </c>
      <c r="C53" s="14">
        <f t="shared" ref="C53:O53" si="15">C46/(C50)</f>
        <v>0.0807032456547836</v>
      </c>
      <c r="D53" s="14">
        <f t="shared" si="15"/>
        <v>0.0725142255262994</v>
      </c>
      <c r="E53" s="14">
        <f t="shared" si="15"/>
        <v>0.00929772528760195</v>
      </c>
      <c r="F53" s="14">
        <f t="shared" si="15"/>
        <v>0.122921422307025</v>
      </c>
      <c r="G53" s="14">
        <f t="shared" si="15"/>
        <v>0.133532620930676</v>
      </c>
      <c r="H53" s="14">
        <f t="shared" si="15"/>
        <v>0.123185881221594</v>
      </c>
      <c r="I53" s="14" t="e">
        <f t="shared" si="15"/>
        <v>#DIV/0!</v>
      </c>
      <c r="J53" s="14" t="e">
        <f t="shared" si="15"/>
        <v>#DIV/0!</v>
      </c>
      <c r="K53" s="14" t="e">
        <f t="shared" si="15"/>
        <v>#DIV/0!</v>
      </c>
      <c r="L53" s="14" t="e">
        <f t="shared" si="15"/>
        <v>#DIV/0!</v>
      </c>
      <c r="M53" s="14" t="e">
        <f t="shared" si="15"/>
        <v>#DIV/0!</v>
      </c>
      <c r="N53" s="14" t="e">
        <f t="shared" si="15"/>
        <v>#DIV/0!</v>
      </c>
      <c r="O53" s="14">
        <f t="shared" si="15"/>
        <v>0.0905436861148658</v>
      </c>
    </row>
    <row r="54" s="64" customFormat="1" spans="1:15">
      <c r="A54" s="69" t="str">
        <f>'[1]特别隐藏版（勿动、勿看）'!A54</f>
        <v>MYTF1店</v>
      </c>
      <c r="B54" s="75" t="str">
        <f>'[1]特别隐藏版（勿动、勿看）'!B54</f>
        <v>实际利润（人民币）</v>
      </c>
      <c r="C54" s="75">
        <f>'[1]2026年度男装汇总分析'!C54</f>
        <v>99524.69</v>
      </c>
      <c r="D54" s="75">
        <f>'[1]2026年度男装汇总分析'!D54</f>
        <v>105771.87</v>
      </c>
      <c r="E54" s="75">
        <f>'[1]2026年度男装汇总分析'!E54</f>
        <v>62174.49</v>
      </c>
      <c r="F54" s="75">
        <f>'[1]2026年度男装汇总分析'!F54</f>
        <v>53475.37</v>
      </c>
      <c r="G54" s="75">
        <f>'[1]2026年度男装汇总分析'!G54</f>
        <v>48725.1896029472</v>
      </c>
      <c r="H54" s="75">
        <f>'[1]2026年度男装汇总分析'!H54</f>
        <v>14668.7828097512</v>
      </c>
      <c r="I54" s="75">
        <f>'[1]2026年度男装汇总分析'!I54</f>
        <v>0</v>
      </c>
      <c r="J54" s="75">
        <f>'[1]2026年度男装汇总分析'!J54</f>
        <v>0</v>
      </c>
      <c r="K54" s="75">
        <f>'[1]2026年度男装汇总分析'!K54</f>
        <v>0</v>
      </c>
      <c r="L54" s="75">
        <f>'[1]2026年度男装汇总分析'!L54</f>
        <v>0</v>
      </c>
      <c r="M54" s="75">
        <f>'[1]2026年度男装汇总分析'!M54</f>
        <v>0</v>
      </c>
      <c r="N54" s="75">
        <f>'[1]2026年度男装汇总分析'!N54</f>
        <v>0</v>
      </c>
      <c r="O54" s="22">
        <f t="shared" ref="O54:O58" si="16">SUM(C54:N54)</f>
        <v>384340.392412698</v>
      </c>
    </row>
    <row r="55" s="64" customFormat="1" spans="1:15">
      <c r="A55" s="70">
        <f>'[1]特别隐藏版（勿动、勿看）'!A55</f>
        <v>0</v>
      </c>
      <c r="B55" s="67" t="str">
        <f>'[1]特别隐藏版（勿动、勿看）'!B55</f>
        <v>销量完成</v>
      </c>
      <c r="C55" s="67">
        <f>'[1]2026年度男装汇总分析'!C55</f>
        <v>3988</v>
      </c>
      <c r="D55" s="67">
        <f>'[1]2026年度男装汇总分析'!D55</f>
        <v>5239</v>
      </c>
      <c r="E55" s="67">
        <f>'[1]2026年度男装汇总分析'!E55</f>
        <v>3137</v>
      </c>
      <c r="F55" s="67">
        <f>'[1]2026年度男装汇总分析'!F55</f>
        <v>3410</v>
      </c>
      <c r="G55" s="67">
        <f>'[1]2026年度男装汇总分析'!G55</f>
        <v>1803</v>
      </c>
      <c r="H55" s="67">
        <f>'[1]2026年度男装汇总分析'!H55</f>
        <v>307</v>
      </c>
      <c r="I55" s="67">
        <f>'[1]2026年度男装汇总分析'!I55</f>
        <v>0</v>
      </c>
      <c r="J55" s="67">
        <f>'[1]2026年度男装汇总分析'!J55</f>
        <v>0</v>
      </c>
      <c r="K55" s="67">
        <f>'[1]2026年度男装汇总分析'!K55</f>
        <v>0</v>
      </c>
      <c r="L55" s="67">
        <f>'[1]2026年度男装汇总分析'!L55</f>
        <v>0</v>
      </c>
      <c r="M55" s="67">
        <f>'[1]2026年度男装汇总分析'!M55</f>
        <v>0</v>
      </c>
      <c r="N55" s="67">
        <f>'[1]2026年度男装汇总分析'!N55</f>
        <v>0</v>
      </c>
      <c r="O55" s="1">
        <f t="shared" si="16"/>
        <v>17884</v>
      </c>
    </row>
    <row r="56" s="64" customFormat="1" spans="1:15">
      <c r="A56" s="70">
        <f>'[1]特别隐藏版（勿动、勿看）'!A56</f>
        <v>0</v>
      </c>
      <c r="B56" s="67" t="str">
        <f>'[1]特别隐藏版（勿动、勿看）'!B56</f>
        <v>实销完成</v>
      </c>
      <c r="C56" s="67">
        <f>'[1]2026年度男装汇总分析'!C56</f>
        <v>1501</v>
      </c>
      <c r="D56" s="67">
        <f>'[1]2026年度男装汇总分析'!D56</f>
        <v>1832</v>
      </c>
      <c r="E56" s="67">
        <f>'[1]2026年度男装汇总分析'!E56</f>
        <v>1160</v>
      </c>
      <c r="F56" s="67">
        <f>'[1]2026年度男装汇总分析'!F56</f>
        <v>1234</v>
      </c>
      <c r="G56" s="67">
        <f>'[1]2026年度男装汇总分析'!G56</f>
        <v>727</v>
      </c>
      <c r="H56" s="67">
        <f>'[1]2026年度男装汇总分析'!H56</f>
        <v>218</v>
      </c>
      <c r="I56" s="67">
        <f>'[1]2026年度男装汇总分析'!I56</f>
        <v>0</v>
      </c>
      <c r="J56" s="67">
        <f>'[1]2026年度男装汇总分析'!J56</f>
        <v>0</v>
      </c>
      <c r="K56" s="67">
        <f>'[1]2026年度男装汇总分析'!K56</f>
        <v>0</v>
      </c>
      <c r="L56" s="67">
        <f>'[1]2026年度男装汇总分析'!L56</f>
        <v>0</v>
      </c>
      <c r="M56" s="67">
        <f>'[1]2026年度男装汇总分析'!M56</f>
        <v>0</v>
      </c>
      <c r="N56" s="67">
        <f>'[1]2026年度男装汇总分析'!N56</f>
        <v>0</v>
      </c>
      <c r="O56" s="1">
        <f t="shared" si="16"/>
        <v>6672</v>
      </c>
    </row>
    <row r="57" s="64" customFormat="1" spans="1:17">
      <c r="A57" s="70">
        <f>'[1]特别隐藏版（勿动、勿看）'!A57</f>
        <v>0</v>
      </c>
      <c r="B57" s="74" t="str">
        <f>'[1]特别隐藏版（勿动、勿看）'!B57</f>
        <v>GMV完成</v>
      </c>
      <c r="C57" s="74">
        <f>'[1]2026年度男装汇总分析'!C57</f>
        <v>16832263</v>
      </c>
      <c r="D57" s="74">
        <f>'[1]2026年度男装汇总分析'!D57</f>
        <v>19448036</v>
      </c>
      <c r="E57" s="74">
        <f>'[1]2026年度男装汇总分析'!E57</f>
        <v>13554454</v>
      </c>
      <c r="F57" s="74">
        <f>'[1]2026年度男装汇总分析'!F57</f>
        <v>13881751</v>
      </c>
      <c r="G57" s="74">
        <f>'[1]2026年度男装汇总分析'!G57</f>
        <v>7572312</v>
      </c>
      <c r="H57" s="74">
        <f>'[1]2026年度男装汇总分析'!H57</f>
        <v>2751076</v>
      </c>
      <c r="I57" s="74">
        <f>'[1]2026年度男装汇总分析'!I57</f>
        <v>0</v>
      </c>
      <c r="J57" s="74">
        <f>'[1]2026年度男装汇总分析'!J57</f>
        <v>0</v>
      </c>
      <c r="K57" s="74">
        <f>'[1]2026年度男装汇总分析'!K57</f>
        <v>0</v>
      </c>
      <c r="L57" s="74">
        <f>'[1]2026年度男装汇总分析'!L57</f>
        <v>0</v>
      </c>
      <c r="M57" s="74">
        <f>'[1]2026年度男装汇总分析'!M57</f>
        <v>0</v>
      </c>
      <c r="N57" s="74">
        <f>'[1]2026年度男装汇总分析'!N57</f>
        <v>0</v>
      </c>
      <c r="O57" s="81">
        <f t="shared" si="16"/>
        <v>74039892</v>
      </c>
      <c r="Q57" s="66"/>
    </row>
    <row r="58" s="64" customFormat="1" spans="1:17">
      <c r="A58" s="70">
        <f>'[1]特别隐藏版（勿动、勿看）'!A58</f>
        <v>0</v>
      </c>
      <c r="B58" s="75" t="str">
        <f>'[1]特别隐藏版（勿动、勿看）'!B58</f>
        <v>GSV完成</v>
      </c>
      <c r="C58" s="75">
        <f>'[1]2026年度男装汇总分析'!C58</f>
        <v>551767.3</v>
      </c>
      <c r="D58" s="75">
        <f>'[1]2026年度男装汇总分析'!D58</f>
        <v>664346.07</v>
      </c>
      <c r="E58" s="75">
        <f>'[1]2026年度男装汇总分析'!E58</f>
        <v>428659.36</v>
      </c>
      <c r="F58" s="75">
        <f>'[1]2026年度男装汇总分析'!F58</f>
        <v>463880.75</v>
      </c>
      <c r="G58" s="75">
        <f>'[1]2026年度男装汇总分析'!G58</f>
        <v>288656.431</v>
      </c>
      <c r="H58" s="75">
        <f>'[1]2026年度男装汇总分析'!H58</f>
        <v>80751.3659000001</v>
      </c>
      <c r="I58" s="75">
        <f>'[1]2026年度男装汇总分析'!I58</f>
        <v>0</v>
      </c>
      <c r="J58" s="75">
        <f>'[1]2026年度男装汇总分析'!J58</f>
        <v>0</v>
      </c>
      <c r="K58" s="75">
        <f>'[1]2026年度男装汇总分析'!K58</f>
        <v>0</v>
      </c>
      <c r="L58" s="75">
        <f>'[1]2026年度男装汇总分析'!L58</f>
        <v>0</v>
      </c>
      <c r="M58" s="75">
        <f>'[1]2026年度男装汇总分析'!M58</f>
        <v>0</v>
      </c>
      <c r="N58" s="75">
        <f>'[1]2026年度男装汇总分析'!N58</f>
        <v>0</v>
      </c>
      <c r="O58" s="22">
        <f t="shared" si="16"/>
        <v>2478061.2769</v>
      </c>
      <c r="Q58" s="65"/>
    </row>
    <row r="59" s="64" customFormat="1" spans="1:15">
      <c r="A59" s="70">
        <f>'[1]特别隐藏版（勿动、勿看）'!A59</f>
        <v>0</v>
      </c>
      <c r="B59" s="67" t="str">
        <f>'[1]特别隐藏版（勿动、勿看）'!B59</f>
        <v>退款率</v>
      </c>
      <c r="C59" s="14">
        <f t="shared" ref="C59:O59" si="17">1-C58*12.5/C57</f>
        <v>0.590245753051744</v>
      </c>
      <c r="D59" s="14">
        <f t="shared" si="17"/>
        <v>0.572999254269172</v>
      </c>
      <c r="E59" s="14">
        <f t="shared" si="17"/>
        <v>0.604687728476558</v>
      </c>
      <c r="F59" s="14">
        <f t="shared" si="17"/>
        <v>0.582292653498827</v>
      </c>
      <c r="G59" s="14">
        <f t="shared" si="17"/>
        <v>0.523500169102911</v>
      </c>
      <c r="H59" s="14">
        <f t="shared" si="17"/>
        <v>0.633091897951928</v>
      </c>
      <c r="I59" s="14" t="e">
        <f t="shared" si="17"/>
        <v>#DIV/0!</v>
      </c>
      <c r="J59" s="14" t="e">
        <f t="shared" si="17"/>
        <v>#DIV/0!</v>
      </c>
      <c r="K59" s="14" t="e">
        <f t="shared" si="17"/>
        <v>#DIV/0!</v>
      </c>
      <c r="L59" s="14" t="e">
        <f t="shared" si="17"/>
        <v>#DIV/0!</v>
      </c>
      <c r="M59" s="14" t="e">
        <f t="shared" si="17"/>
        <v>#DIV/0!</v>
      </c>
      <c r="N59" s="14" t="e">
        <f t="shared" si="17"/>
        <v>#DIV/0!</v>
      </c>
      <c r="O59" s="14">
        <f t="shared" si="17"/>
        <v>0.581634101232211</v>
      </c>
    </row>
    <row r="60" s="64" customFormat="1" spans="1:15">
      <c r="A60" s="70">
        <f>'[1]特别隐藏版（勿动、勿看）'!A60</f>
        <v>0</v>
      </c>
      <c r="B60" s="67" t="str">
        <f>'[1]特别隐藏版（勿动、勿看）'!B60</f>
        <v>退货率</v>
      </c>
      <c r="C60" s="14">
        <f t="shared" ref="C60:O60" si="18">1-C56/C55</f>
        <v>0.623620862587763</v>
      </c>
      <c r="D60" s="14">
        <f t="shared" si="18"/>
        <v>0.650314945600305</v>
      </c>
      <c r="E60" s="14">
        <f t="shared" si="18"/>
        <v>0.630219955371374</v>
      </c>
      <c r="F60" s="14">
        <f t="shared" si="18"/>
        <v>0.638123167155425</v>
      </c>
      <c r="G60" s="14">
        <f t="shared" si="18"/>
        <v>0.596783139212424</v>
      </c>
      <c r="H60" s="14">
        <f t="shared" si="18"/>
        <v>0.289902280130293</v>
      </c>
      <c r="I60" s="14" t="e">
        <f t="shared" si="18"/>
        <v>#DIV/0!</v>
      </c>
      <c r="J60" s="14" t="e">
        <f t="shared" si="18"/>
        <v>#DIV/0!</v>
      </c>
      <c r="K60" s="14" t="e">
        <f t="shared" si="18"/>
        <v>#DIV/0!</v>
      </c>
      <c r="L60" s="14" t="e">
        <f t="shared" si="18"/>
        <v>#DIV/0!</v>
      </c>
      <c r="M60" s="14" t="e">
        <f t="shared" si="18"/>
        <v>#DIV/0!</v>
      </c>
      <c r="N60" s="14" t="e">
        <f t="shared" si="18"/>
        <v>#DIV/0!</v>
      </c>
      <c r="O60" s="14">
        <f t="shared" si="18"/>
        <v>0.626929098635652</v>
      </c>
    </row>
    <row r="61" s="64" customFormat="1" spans="1:15">
      <c r="A61" s="76">
        <f>'[1]特别隐藏版（勿动、勿看）'!A61</f>
        <v>0</v>
      </c>
      <c r="B61" s="67" t="str">
        <f>'[1]特别隐藏版（勿动、勿看）'!B61</f>
        <v>利润率</v>
      </c>
      <c r="C61" s="14">
        <f t="shared" ref="C61:O61" si="19">C54/(C58)</f>
        <v>0.180374389711025</v>
      </c>
      <c r="D61" s="14">
        <f t="shared" si="19"/>
        <v>0.159212005273095</v>
      </c>
      <c r="E61" s="14">
        <f t="shared" si="19"/>
        <v>0.145044050828611</v>
      </c>
      <c r="F61" s="14">
        <f t="shared" si="19"/>
        <v>0.115278269253467</v>
      </c>
      <c r="G61" s="14">
        <f t="shared" si="19"/>
        <v>0.168799944744509</v>
      </c>
      <c r="H61" s="14">
        <f t="shared" si="19"/>
        <v>0.181653680358999</v>
      </c>
      <c r="I61" s="14" t="e">
        <f t="shared" si="19"/>
        <v>#DIV/0!</v>
      </c>
      <c r="J61" s="14" t="e">
        <f t="shared" si="19"/>
        <v>#DIV/0!</v>
      </c>
      <c r="K61" s="14" t="e">
        <f t="shared" si="19"/>
        <v>#DIV/0!</v>
      </c>
      <c r="L61" s="14" t="e">
        <f t="shared" si="19"/>
        <v>#DIV/0!</v>
      </c>
      <c r="M61" s="14" t="e">
        <f t="shared" si="19"/>
        <v>#DIV/0!</v>
      </c>
      <c r="N61" s="14" t="e">
        <f t="shared" si="19"/>
        <v>#DIV/0!</v>
      </c>
      <c r="O61" s="14">
        <f t="shared" si="19"/>
        <v>0.155097210870225</v>
      </c>
    </row>
    <row r="62" s="64" customFormat="1" spans="1:15">
      <c r="A62" s="69" t="str">
        <f>'[1]特别隐藏版（勿动、勿看）'!A62</f>
        <v>Z-NZTF1店</v>
      </c>
      <c r="B62" s="75" t="str">
        <f>'[1]特别隐藏版（勿动、勿看）'!B62</f>
        <v>实际利润（人民币）</v>
      </c>
      <c r="C62" s="75">
        <f>'[1]2026年度男装汇总分析'!C62</f>
        <v>63564.22</v>
      </c>
      <c r="D62" s="75">
        <f>'[1]2026年度男装汇总分析'!D62</f>
        <v>186252.86</v>
      </c>
      <c r="E62" s="75">
        <f>'[1]2026年度男装汇总分析'!E62</f>
        <v>23902.22</v>
      </c>
      <c r="F62" s="75">
        <f>'[1]2026年度男装汇总分析'!F62</f>
        <v>154982.1</v>
      </c>
      <c r="G62" s="75">
        <f>'[1]2026年度男装汇总分析'!G62</f>
        <v>58803.505650204</v>
      </c>
      <c r="H62" s="75">
        <f>'[1]2026年度男装汇总分析'!H62</f>
        <v>11848.3851122148</v>
      </c>
      <c r="I62" s="75">
        <f>'[1]2026年度男装汇总分析'!I62</f>
        <v>0</v>
      </c>
      <c r="J62" s="75">
        <f>'[1]2026年度男装汇总分析'!J62</f>
        <v>0</v>
      </c>
      <c r="K62" s="75">
        <f>'[1]2026年度男装汇总分析'!K62</f>
        <v>0</v>
      </c>
      <c r="L62" s="75">
        <f>'[1]2026年度男装汇总分析'!L62</f>
        <v>0</v>
      </c>
      <c r="M62" s="75">
        <f>'[1]2026年度男装汇总分析'!M62</f>
        <v>0</v>
      </c>
      <c r="N62" s="75">
        <f>'[1]2026年度男装汇总分析'!N62</f>
        <v>0</v>
      </c>
      <c r="O62" s="22">
        <f t="shared" ref="O62:O66" si="20">SUM(C62:N62)</f>
        <v>499353.290762419</v>
      </c>
    </row>
    <row r="63" s="64" customFormat="1" spans="1:15">
      <c r="A63" s="70">
        <f>'[1]特别隐藏版（勿动、勿看）'!A63</f>
        <v>0</v>
      </c>
      <c r="B63" s="67" t="str">
        <f>'[1]特别隐藏版（勿动、勿看）'!B63</f>
        <v>销量完成</v>
      </c>
      <c r="C63" s="67">
        <f>'[1]2026年度男装汇总分析'!C63</f>
        <v>3019</v>
      </c>
      <c r="D63" s="67">
        <f>'[1]2026年度男装汇总分析'!D63</f>
        <v>10048</v>
      </c>
      <c r="E63" s="67">
        <f>'[1]2026年度男装汇总分析'!E63</f>
        <v>5984</v>
      </c>
      <c r="F63" s="67">
        <f>'[1]2026年度男装汇总分析'!F63</f>
        <v>11196</v>
      </c>
      <c r="G63" s="67">
        <f>'[1]2026年度男装汇总分析'!G63</f>
        <v>7971</v>
      </c>
      <c r="H63" s="67">
        <f>'[1]2026年度男装汇总分析'!H63</f>
        <v>1339</v>
      </c>
      <c r="I63" s="67">
        <f>'[1]2026年度男装汇总分析'!I63</f>
        <v>0</v>
      </c>
      <c r="J63" s="67">
        <f>'[1]2026年度男装汇总分析'!J63</f>
        <v>0</v>
      </c>
      <c r="K63" s="67">
        <f>'[1]2026年度男装汇总分析'!K63</f>
        <v>0</v>
      </c>
      <c r="L63" s="67">
        <f>'[1]2026年度男装汇总分析'!L63</f>
        <v>0</v>
      </c>
      <c r="M63" s="67">
        <f>'[1]2026年度男装汇总分析'!M63</f>
        <v>0</v>
      </c>
      <c r="N63" s="67">
        <f>'[1]2026年度男装汇总分析'!N63</f>
        <v>0</v>
      </c>
      <c r="O63" s="1">
        <f t="shared" si="20"/>
        <v>39557</v>
      </c>
    </row>
    <row r="64" s="64" customFormat="1" spans="1:15">
      <c r="A64" s="70">
        <f>'[1]特别隐藏版（勿动、勿看）'!A64</f>
        <v>0</v>
      </c>
      <c r="B64" s="67" t="str">
        <f>'[1]特别隐藏版（勿动、勿看）'!B64</f>
        <v>实销完成</v>
      </c>
      <c r="C64" s="67">
        <f>'[1]2026年度男装汇总分析'!C64</f>
        <v>782</v>
      </c>
      <c r="D64" s="67">
        <f>'[1]2026年度男装汇总分析'!D64</f>
        <v>2400</v>
      </c>
      <c r="E64" s="67">
        <f>'[1]2026年度男装汇总分析'!E64</f>
        <v>1177</v>
      </c>
      <c r="F64" s="67">
        <f>'[1]2026年度男装汇总分析'!F64</f>
        <v>2441</v>
      </c>
      <c r="G64" s="67">
        <f>'[1]2026年度男装汇总分析'!G64</f>
        <v>1758</v>
      </c>
      <c r="H64" s="67">
        <f>'[1]2026年度男装汇总分析'!H64</f>
        <v>446</v>
      </c>
      <c r="I64" s="67">
        <f>'[1]2026年度男装汇总分析'!I64</f>
        <v>0</v>
      </c>
      <c r="J64" s="67">
        <f>'[1]2026年度男装汇总分析'!J64</f>
        <v>0</v>
      </c>
      <c r="K64" s="67">
        <f>'[1]2026年度男装汇总分析'!K64</f>
        <v>0</v>
      </c>
      <c r="L64" s="67">
        <f>'[1]2026年度男装汇总分析'!L64</f>
        <v>0</v>
      </c>
      <c r="M64" s="67">
        <f>'[1]2026年度男装汇总分析'!M64</f>
        <v>0</v>
      </c>
      <c r="N64" s="67">
        <f>'[1]2026年度男装汇总分析'!N64</f>
        <v>0</v>
      </c>
      <c r="O64" s="1">
        <f t="shared" si="20"/>
        <v>9004</v>
      </c>
    </row>
    <row r="65" s="64" customFormat="1" spans="1:17">
      <c r="A65" s="70">
        <f>'[1]特别隐藏版（勿动、勿看）'!A65</f>
        <v>0</v>
      </c>
      <c r="B65" s="74" t="str">
        <f>'[1]特别隐藏版（勿动、勿看）'!B65</f>
        <v>GMV完成</v>
      </c>
      <c r="C65" s="74">
        <f>'[1]2026年度男装汇总分析'!C65</f>
        <v>17294018</v>
      </c>
      <c r="D65" s="74">
        <f>'[1]2026年度男装汇总分析'!D65</f>
        <v>50353143</v>
      </c>
      <c r="E65" s="74">
        <f>'[1]2026年度男装汇总分析'!E65</f>
        <v>30943005</v>
      </c>
      <c r="F65" s="74">
        <f>'[1]2026年度男装汇总分析'!F65</f>
        <v>56092797</v>
      </c>
      <c r="G65" s="74">
        <f>'[1]2026年度男装汇总分析'!G65</f>
        <v>36922189</v>
      </c>
      <c r="H65" s="74">
        <f>'[1]2026年度男装汇总分析'!H65</f>
        <v>8733473</v>
      </c>
      <c r="I65" s="74">
        <f>'[1]2026年度男装汇总分析'!I65</f>
        <v>0</v>
      </c>
      <c r="J65" s="74">
        <f>'[1]2026年度男装汇总分析'!J65</f>
        <v>0</v>
      </c>
      <c r="K65" s="74">
        <f>'[1]2026年度男装汇总分析'!K65</f>
        <v>0</v>
      </c>
      <c r="L65" s="74">
        <f>'[1]2026年度男装汇总分析'!L65</f>
        <v>0</v>
      </c>
      <c r="M65" s="74">
        <f>'[1]2026年度男装汇总分析'!M65</f>
        <v>0</v>
      </c>
      <c r="N65" s="74">
        <f>'[1]2026年度男装汇总分析'!N65</f>
        <v>0</v>
      </c>
      <c r="O65" s="81">
        <f t="shared" si="20"/>
        <v>200338625</v>
      </c>
      <c r="Q65" s="66"/>
    </row>
    <row r="66" s="64" customFormat="1" spans="1:17">
      <c r="A66" s="70">
        <f>'[1]特别隐藏版（勿动、勿看）'!A66</f>
        <v>0</v>
      </c>
      <c r="B66" s="75" t="str">
        <f>'[1]特别隐藏版（勿动、勿看）'!B66</f>
        <v>GSV完成</v>
      </c>
      <c r="C66" s="75">
        <f>'[1]2026年度男装汇总分析'!C66</f>
        <v>324669.67</v>
      </c>
      <c r="D66" s="75">
        <f>'[1]2026年度男装汇总分析'!D66</f>
        <v>1018496.8</v>
      </c>
      <c r="E66" s="75">
        <f>'[1]2026年度男装汇总分析'!E66</f>
        <v>504766.74</v>
      </c>
      <c r="F66" s="75">
        <f>'[1]2026年度男装汇总分析'!F66</f>
        <v>1069518.42</v>
      </c>
      <c r="G66" s="75">
        <f>'[1]2026年度男装汇总分析'!G66</f>
        <v>797308.5406</v>
      </c>
      <c r="H66" s="75">
        <f>'[1]2026年度男装汇总分析'!H66</f>
        <v>192321.5225</v>
      </c>
      <c r="I66" s="75">
        <f>'[1]2026年度男装汇总分析'!I66</f>
        <v>0</v>
      </c>
      <c r="J66" s="75">
        <f>'[1]2026年度男装汇总分析'!J66</f>
        <v>0</v>
      </c>
      <c r="K66" s="75">
        <f>'[1]2026年度男装汇总分析'!K66</f>
        <v>0</v>
      </c>
      <c r="L66" s="75">
        <f>'[1]2026年度男装汇总分析'!L66</f>
        <v>0</v>
      </c>
      <c r="M66" s="75">
        <f>'[1]2026年度男装汇总分析'!M66</f>
        <v>0</v>
      </c>
      <c r="N66" s="75">
        <f>'[1]2026年度男装汇总分析'!N66</f>
        <v>0</v>
      </c>
      <c r="O66" s="22">
        <f t="shared" si="20"/>
        <v>3907081.6931</v>
      </c>
      <c r="Q66" s="65"/>
    </row>
    <row r="67" s="64" customFormat="1" spans="1:15">
      <c r="A67" s="70">
        <f>'[1]特别隐藏版（勿动、勿看）'!A67</f>
        <v>0</v>
      </c>
      <c r="B67" s="67" t="str">
        <f>'[1]特别隐藏版（勿动、勿看）'!B67</f>
        <v>退款率</v>
      </c>
      <c r="C67" s="14">
        <f t="shared" ref="C67:O67" si="21">1-C66*12.5/C65</f>
        <v>0.765330944202787</v>
      </c>
      <c r="D67" s="14">
        <f t="shared" si="21"/>
        <v>0.747161562486775</v>
      </c>
      <c r="E67" s="14">
        <f t="shared" si="21"/>
        <v>0.796090126023636</v>
      </c>
      <c r="F67" s="14">
        <f t="shared" si="21"/>
        <v>0.761663155253249</v>
      </c>
      <c r="G67" s="14">
        <f t="shared" si="21"/>
        <v>0.730071346595945</v>
      </c>
      <c r="H67" s="14">
        <f t="shared" si="21"/>
        <v>0.7247350474147</v>
      </c>
      <c r="I67" s="14" t="e">
        <f t="shared" si="21"/>
        <v>#DIV/0!</v>
      </c>
      <c r="J67" s="14" t="e">
        <f t="shared" si="21"/>
        <v>#DIV/0!</v>
      </c>
      <c r="K67" s="14" t="e">
        <f t="shared" si="21"/>
        <v>#DIV/0!</v>
      </c>
      <c r="L67" s="14" t="e">
        <f t="shared" si="21"/>
        <v>#DIV/0!</v>
      </c>
      <c r="M67" s="14" t="e">
        <f t="shared" si="21"/>
        <v>#DIV/0!</v>
      </c>
      <c r="N67" s="14" t="e">
        <f t="shared" si="21"/>
        <v>#DIV/0!</v>
      </c>
      <c r="O67" s="14">
        <f t="shared" si="21"/>
        <v>0.756220143950025</v>
      </c>
    </row>
    <row r="68" s="64" customFormat="1" spans="1:15">
      <c r="A68" s="70">
        <f>'[1]特别隐藏版（勿动、勿看）'!A68</f>
        <v>0</v>
      </c>
      <c r="B68" s="67" t="str">
        <f>'[1]特别隐藏版（勿动、勿看）'!B68</f>
        <v>退货率</v>
      </c>
      <c r="C68" s="14">
        <f t="shared" ref="C68:O68" si="22">1-C64/C63</f>
        <v>0.740973832394833</v>
      </c>
      <c r="D68" s="14">
        <f t="shared" si="22"/>
        <v>0.761146496815287</v>
      </c>
      <c r="E68" s="14">
        <f t="shared" si="22"/>
        <v>0.803308823529412</v>
      </c>
      <c r="F68" s="14">
        <f t="shared" si="22"/>
        <v>0.781975705609146</v>
      </c>
      <c r="G68" s="14">
        <f t="shared" si="22"/>
        <v>0.779450508091833</v>
      </c>
      <c r="H68" s="14">
        <f t="shared" si="22"/>
        <v>0.666915608663182</v>
      </c>
      <c r="I68" s="14" t="e">
        <f t="shared" si="22"/>
        <v>#DIV/0!</v>
      </c>
      <c r="J68" s="14" t="e">
        <f t="shared" si="22"/>
        <v>#DIV/0!</v>
      </c>
      <c r="K68" s="14" t="e">
        <f t="shared" si="22"/>
        <v>#DIV/0!</v>
      </c>
      <c r="L68" s="14" t="e">
        <f t="shared" si="22"/>
        <v>#DIV/0!</v>
      </c>
      <c r="M68" s="14" t="e">
        <f t="shared" si="22"/>
        <v>#DIV/0!</v>
      </c>
      <c r="N68" s="14" t="e">
        <f t="shared" si="22"/>
        <v>#DIV/0!</v>
      </c>
      <c r="O68" s="14">
        <f t="shared" si="22"/>
        <v>0.772379098516065</v>
      </c>
    </row>
    <row r="69" s="64" customFormat="1" spans="1:15">
      <c r="A69" s="76">
        <f>'[1]特别隐藏版（勿动、勿看）'!A69</f>
        <v>0</v>
      </c>
      <c r="B69" s="67" t="str">
        <f>'[1]特别隐藏版（勿动、勿看）'!B69</f>
        <v>利润率</v>
      </c>
      <c r="C69" s="14">
        <f t="shared" ref="C69:O69" si="23">C62/(C66)</f>
        <v>0.195781207403821</v>
      </c>
      <c r="D69" s="14">
        <f t="shared" si="23"/>
        <v>0.18287034382435</v>
      </c>
      <c r="E69" s="14">
        <f t="shared" si="23"/>
        <v>0.0473530011109686</v>
      </c>
      <c r="F69" s="14">
        <f t="shared" si="23"/>
        <v>0.144908303683073</v>
      </c>
      <c r="G69" s="14">
        <f t="shared" si="23"/>
        <v>0.0737525094186907</v>
      </c>
      <c r="H69" s="14">
        <f t="shared" si="23"/>
        <v>0.0616071719805296</v>
      </c>
      <c r="I69" s="14" t="e">
        <f t="shared" si="23"/>
        <v>#DIV/0!</v>
      </c>
      <c r="J69" s="14" t="e">
        <f t="shared" si="23"/>
        <v>#DIV/0!</v>
      </c>
      <c r="K69" s="14" t="e">
        <f t="shared" si="23"/>
        <v>#DIV/0!</v>
      </c>
      <c r="L69" s="14" t="e">
        <f t="shared" si="23"/>
        <v>#DIV/0!</v>
      </c>
      <c r="M69" s="14" t="e">
        <f t="shared" si="23"/>
        <v>#DIV/0!</v>
      </c>
      <c r="N69" s="14" t="e">
        <f t="shared" si="23"/>
        <v>#DIV/0!</v>
      </c>
      <c r="O69" s="14">
        <f t="shared" si="23"/>
        <v>0.127807230558882</v>
      </c>
    </row>
    <row r="70" s="64" customFormat="1" spans="1:15">
      <c r="A70" s="69" t="str">
        <f>'[1]特别隐藏版（勿动、勿看）'!A70</f>
        <v>新店1</v>
      </c>
      <c r="B70" s="67" t="str">
        <f>'[1]特别隐藏版（勿动、勿看）'!B70</f>
        <v>实际利润（人民币）</v>
      </c>
      <c r="C70" s="75">
        <f>'[1]2026年度男装汇总分析'!C70</f>
        <v>0</v>
      </c>
      <c r="D70" s="75">
        <f>'[1]2026年度男装汇总分析'!D70</f>
        <v>0</v>
      </c>
      <c r="E70" s="75">
        <f>'[1]2026年度男装汇总分析'!E70</f>
        <v>0</v>
      </c>
      <c r="F70" s="75">
        <f>'[1]2026年度男装汇总分析'!F70</f>
        <v>0</v>
      </c>
      <c r="G70" s="75">
        <f>'[1]2026年度男装汇总分析'!G70</f>
        <v>0</v>
      </c>
      <c r="H70" s="75">
        <f>'[1]2026年度男装汇总分析'!H70</f>
        <v>0</v>
      </c>
      <c r="I70" s="75">
        <f>'[1]2026年度男装汇总分析'!I70</f>
        <v>0</v>
      </c>
      <c r="J70" s="75">
        <f>'[1]2026年度男装汇总分析'!J70</f>
        <v>0</v>
      </c>
      <c r="K70" s="75">
        <f>'[1]2026年度男装汇总分析'!K70</f>
        <v>0</v>
      </c>
      <c r="L70" s="75">
        <f>'[1]2026年度男装汇总分析'!L70</f>
        <v>0</v>
      </c>
      <c r="M70" s="75">
        <f>'[1]2026年度男装汇总分析'!M70</f>
        <v>0</v>
      </c>
      <c r="N70" s="75">
        <f>'[1]2026年度男装汇总分析'!N70</f>
        <v>0</v>
      </c>
      <c r="O70" s="22">
        <f t="shared" ref="O70:O74" si="24">SUM(C70:N70)</f>
        <v>0</v>
      </c>
    </row>
    <row r="71" s="64" customFormat="1" spans="1:15">
      <c r="A71" s="70">
        <f>'[1]特别隐藏版（勿动、勿看）'!A71</f>
        <v>0</v>
      </c>
      <c r="B71" s="67" t="str">
        <f>'[1]特别隐藏版（勿动、勿看）'!B71</f>
        <v>销量完成</v>
      </c>
      <c r="C71" s="67">
        <f>'[1]2026年度男装汇总分析'!C71</f>
        <v>0</v>
      </c>
      <c r="D71" s="67">
        <f>'[1]2026年度男装汇总分析'!D71</f>
        <v>0</v>
      </c>
      <c r="E71" s="67">
        <f>'[1]2026年度男装汇总分析'!E71</f>
        <v>0</v>
      </c>
      <c r="F71" s="67">
        <f>'[1]2026年度男装汇总分析'!F71</f>
        <v>0</v>
      </c>
      <c r="G71" s="67">
        <f>'[1]2026年度男装汇总分析'!G71</f>
        <v>0</v>
      </c>
      <c r="H71" s="67">
        <f>'[1]2026年度男装汇总分析'!H71</f>
        <v>0</v>
      </c>
      <c r="I71" s="67">
        <f>'[1]2026年度男装汇总分析'!I71</f>
        <v>0</v>
      </c>
      <c r="J71" s="67">
        <f>'[1]2026年度男装汇总分析'!J71</f>
        <v>0</v>
      </c>
      <c r="K71" s="67">
        <f>'[1]2026年度男装汇总分析'!K71</f>
        <v>0</v>
      </c>
      <c r="L71" s="67">
        <f>'[1]2026年度男装汇总分析'!L71</f>
        <v>0</v>
      </c>
      <c r="M71" s="67">
        <f>'[1]2026年度男装汇总分析'!M71</f>
        <v>0</v>
      </c>
      <c r="N71" s="67">
        <f>'[1]2026年度男装汇总分析'!N71</f>
        <v>0</v>
      </c>
      <c r="O71" s="1">
        <f t="shared" si="24"/>
        <v>0</v>
      </c>
    </row>
    <row r="72" s="64" customFormat="1" spans="1:15">
      <c r="A72" s="70">
        <f>'[1]特别隐藏版（勿动、勿看）'!A72</f>
        <v>0</v>
      </c>
      <c r="B72" s="67" t="str">
        <f>'[1]特别隐藏版（勿动、勿看）'!B72</f>
        <v>实销完成</v>
      </c>
      <c r="C72" s="67">
        <f>'[1]2026年度男装汇总分析'!C72</f>
        <v>0</v>
      </c>
      <c r="D72" s="67">
        <f>'[1]2026年度男装汇总分析'!D72</f>
        <v>0</v>
      </c>
      <c r="E72" s="67">
        <f>'[1]2026年度男装汇总分析'!E72</f>
        <v>0</v>
      </c>
      <c r="F72" s="67">
        <f>'[1]2026年度男装汇总分析'!F72</f>
        <v>0</v>
      </c>
      <c r="G72" s="67">
        <f>'[1]2026年度男装汇总分析'!G72</f>
        <v>0</v>
      </c>
      <c r="H72" s="67">
        <f>'[1]2026年度男装汇总分析'!H72</f>
        <v>0</v>
      </c>
      <c r="I72" s="67">
        <f>'[1]2026年度男装汇总分析'!I72</f>
        <v>0</v>
      </c>
      <c r="J72" s="67">
        <f>'[1]2026年度男装汇总分析'!J72</f>
        <v>0</v>
      </c>
      <c r="K72" s="67">
        <f>'[1]2026年度男装汇总分析'!K72</f>
        <v>0</v>
      </c>
      <c r="L72" s="67">
        <f>'[1]2026年度男装汇总分析'!L72</f>
        <v>0</v>
      </c>
      <c r="M72" s="67">
        <f>'[1]2026年度男装汇总分析'!M72</f>
        <v>0</v>
      </c>
      <c r="N72" s="67">
        <f>'[1]2026年度男装汇总分析'!N72</f>
        <v>0</v>
      </c>
      <c r="O72" s="1">
        <f t="shared" si="24"/>
        <v>0</v>
      </c>
    </row>
    <row r="73" s="64" customFormat="1" spans="1:15">
      <c r="A73" s="70">
        <f>'[1]特别隐藏版（勿动、勿看）'!A73</f>
        <v>0</v>
      </c>
      <c r="B73" s="67" t="str">
        <f>'[1]特别隐藏版（勿动、勿看）'!B73</f>
        <v>GMV完成</v>
      </c>
      <c r="C73" s="74">
        <f>'[1]2026年度男装汇总分析'!C73</f>
        <v>0</v>
      </c>
      <c r="D73" s="74">
        <f>'[1]2026年度男装汇总分析'!D73</f>
        <v>0</v>
      </c>
      <c r="E73" s="74">
        <f>'[1]2026年度男装汇总分析'!E73</f>
        <v>0</v>
      </c>
      <c r="F73" s="74">
        <f>'[1]2026年度男装汇总分析'!F73</f>
        <v>0</v>
      </c>
      <c r="G73" s="74">
        <f>'[1]2026年度男装汇总分析'!G73</f>
        <v>0</v>
      </c>
      <c r="H73" s="74">
        <f>'[1]2026年度男装汇总分析'!H73</f>
        <v>0</v>
      </c>
      <c r="I73" s="74">
        <f>'[1]2026年度男装汇总分析'!I73</f>
        <v>0</v>
      </c>
      <c r="J73" s="74">
        <f>'[1]2026年度男装汇总分析'!J73</f>
        <v>0</v>
      </c>
      <c r="K73" s="74">
        <f>'[1]2026年度男装汇总分析'!K73</f>
        <v>0</v>
      </c>
      <c r="L73" s="74">
        <f>'[1]2026年度男装汇总分析'!L73</f>
        <v>0</v>
      </c>
      <c r="M73" s="74">
        <f>'[1]2026年度男装汇总分析'!M73</f>
        <v>0</v>
      </c>
      <c r="N73" s="74">
        <f>'[1]2026年度男装汇总分析'!N73</f>
        <v>0</v>
      </c>
      <c r="O73" s="81">
        <f t="shared" si="24"/>
        <v>0</v>
      </c>
    </row>
    <row r="74" s="64" customFormat="1" spans="1:15">
      <c r="A74" s="70">
        <f>'[1]特别隐藏版（勿动、勿看）'!A74</f>
        <v>0</v>
      </c>
      <c r="B74" s="67" t="str">
        <f>'[1]特别隐藏版（勿动、勿看）'!B74</f>
        <v>GSV完成</v>
      </c>
      <c r="C74" s="75">
        <f>'[1]2026年度男装汇总分析'!C74</f>
        <v>0</v>
      </c>
      <c r="D74" s="75">
        <f>'[1]2026年度男装汇总分析'!D74</f>
        <v>0</v>
      </c>
      <c r="E74" s="75">
        <f>'[1]2026年度男装汇总分析'!E74</f>
        <v>0</v>
      </c>
      <c r="F74" s="75">
        <f>'[1]2026年度男装汇总分析'!F74</f>
        <v>0</v>
      </c>
      <c r="G74" s="75">
        <f>'[1]2026年度男装汇总分析'!G74</f>
        <v>0</v>
      </c>
      <c r="H74" s="75">
        <f>'[1]2026年度男装汇总分析'!H74</f>
        <v>0</v>
      </c>
      <c r="I74" s="75">
        <f>'[1]2026年度男装汇总分析'!I74</f>
        <v>0</v>
      </c>
      <c r="J74" s="75">
        <f>'[1]2026年度男装汇总分析'!J74</f>
        <v>0</v>
      </c>
      <c r="K74" s="75">
        <f>'[1]2026年度男装汇总分析'!K74</f>
        <v>0</v>
      </c>
      <c r="L74" s="75">
        <f>'[1]2026年度男装汇总分析'!L74</f>
        <v>0</v>
      </c>
      <c r="M74" s="75">
        <f>'[1]2026年度男装汇总分析'!M74</f>
        <v>0</v>
      </c>
      <c r="N74" s="75">
        <f>'[1]2026年度男装汇总分析'!N74</f>
        <v>0</v>
      </c>
      <c r="O74" s="22">
        <f t="shared" si="24"/>
        <v>0</v>
      </c>
    </row>
    <row r="75" s="64" customFormat="1" spans="1:15">
      <c r="A75" s="70">
        <f>'[1]特别隐藏版（勿动、勿看）'!A75</f>
        <v>0</v>
      </c>
      <c r="B75" s="67" t="str">
        <f>'[1]特别隐藏版（勿动、勿看）'!B75</f>
        <v>退款率</v>
      </c>
      <c r="C75" s="14">
        <v>0.690403504378611</v>
      </c>
      <c r="D75" s="14">
        <v>0.713085641915568</v>
      </c>
      <c r="E75" s="14">
        <v>0.744383888889705</v>
      </c>
      <c r="F75" s="14">
        <v>0.708815495578813</v>
      </c>
      <c r="G75" s="14">
        <v>0.676955236686802</v>
      </c>
      <c r="H75" s="14">
        <v>0.69362188606391</v>
      </c>
      <c r="I75" s="14" t="e">
        <v>#DIV/0!</v>
      </c>
      <c r="J75" s="14" t="e">
        <v>#DIV/0!</v>
      </c>
      <c r="K75" s="14" t="e">
        <v>#DIV/0!</v>
      </c>
      <c r="L75" s="14" t="e">
        <v>#DIV/0!</v>
      </c>
      <c r="M75" s="14" t="e">
        <v>#DIV/0!</v>
      </c>
      <c r="N75" s="14" t="e">
        <v>#DIV/0!</v>
      </c>
      <c r="O75" s="14" t="e">
        <f>1-O74*12.5/O73</f>
        <v>#DIV/0!</v>
      </c>
    </row>
    <row r="76" s="64" customFormat="1" spans="1:15">
      <c r="A76" s="70">
        <f>'[1]特别隐藏版（勿动、勿看）'!A76</f>
        <v>0</v>
      </c>
      <c r="B76" s="67" t="str">
        <f>'[1]特别隐藏版（勿动、勿看）'!B76</f>
        <v>退货率</v>
      </c>
      <c r="C76" s="14">
        <v>0.718278731149246</v>
      </c>
      <c r="D76" s="14">
        <v>0.744375419744795</v>
      </c>
      <c r="E76" s="14">
        <v>0.759741902834008</v>
      </c>
      <c r="F76" s="14">
        <v>0.747212336892052</v>
      </c>
      <c r="G76" s="14">
        <v>0.719339199138086</v>
      </c>
      <c r="H76" s="14">
        <v>0.698044009779951</v>
      </c>
      <c r="I76" s="14" t="e">
        <v>#DIV/0!</v>
      </c>
      <c r="J76" s="14" t="e">
        <v>#DIV/0!</v>
      </c>
      <c r="K76" s="14" t="e">
        <v>#DIV/0!</v>
      </c>
      <c r="L76" s="14" t="e">
        <v>#DIV/0!</v>
      </c>
      <c r="M76" s="14" t="e">
        <v>#DIV/0!</v>
      </c>
      <c r="N76" s="14" t="e">
        <v>#DIV/0!</v>
      </c>
      <c r="O76" s="14" t="e">
        <f>1-O72/O71</f>
        <v>#DIV/0!</v>
      </c>
    </row>
    <row r="77" s="64" customFormat="1" spans="1:15">
      <c r="A77" s="76">
        <f>'[1]特别隐藏版（勿动、勿看）'!A77</f>
        <v>0</v>
      </c>
      <c r="B77" s="67" t="str">
        <f>'[1]特别隐藏版（勿动、勿看）'!B77</f>
        <v>利润率</v>
      </c>
      <c r="C77" s="14">
        <v>0.121543906824287</v>
      </c>
      <c r="D77" s="14">
        <v>0.100913304397759</v>
      </c>
      <c r="E77" s="14">
        <v>0.0414699567466943</v>
      </c>
      <c r="F77" s="14">
        <v>0.0616780950056489</v>
      </c>
      <c r="G77" s="14">
        <v>0.094867445992689</v>
      </c>
      <c r="H77" s="14">
        <v>0.169106132245491</v>
      </c>
      <c r="I77" s="14" t="e">
        <v>#DIV/0!</v>
      </c>
      <c r="J77" s="14" t="e">
        <v>#DIV/0!</v>
      </c>
      <c r="K77" s="14" t="e">
        <v>#DIV/0!</v>
      </c>
      <c r="L77" s="14" t="e">
        <v>#DIV/0!</v>
      </c>
      <c r="M77" s="14" t="e">
        <v>#DIV/0!</v>
      </c>
      <c r="N77" s="14" t="e">
        <v>#DIV/0!</v>
      </c>
      <c r="O77" s="14" t="e">
        <f>O70/(O74)</f>
        <v>#DIV/0!</v>
      </c>
    </row>
    <row r="78" s="64" customFormat="1" spans="1:15">
      <c r="A78" s="69" t="str">
        <f>'[1]特别隐藏版（勿动、勿看）'!A78</f>
        <v>新店2</v>
      </c>
      <c r="B78" s="67" t="str">
        <f>'[1]特别隐藏版（勿动、勿看）'!B78</f>
        <v>实际利润（人民币）</v>
      </c>
      <c r="C78" s="67">
        <f>'[1]特别隐藏版（勿动、勿看）'!C78</f>
        <v>0</v>
      </c>
      <c r="D78" s="67">
        <f>'[1]特别隐藏版（勿动、勿看）'!D78</f>
        <v>0</v>
      </c>
      <c r="E78" s="67">
        <f>'[1]特别隐藏版（勿动、勿看）'!E78</f>
        <v>0</v>
      </c>
      <c r="F78" s="67">
        <f>'[1]特别隐藏版（勿动、勿看）'!F78</f>
        <v>0</v>
      </c>
      <c r="G78" s="67">
        <f>'[1]特别隐藏版（勿动、勿看）'!G78</f>
        <v>0</v>
      </c>
      <c r="H78" s="67">
        <f>'[1]特别隐藏版（勿动、勿看）'!H78</f>
        <v>0</v>
      </c>
      <c r="I78" s="67">
        <f>'[1]特别隐藏版（勿动、勿看）'!I78</f>
        <v>0</v>
      </c>
      <c r="J78" s="67">
        <f>'[1]特别隐藏版（勿动、勿看）'!J78</f>
        <v>0</v>
      </c>
      <c r="K78" s="67">
        <f>'[1]特别隐藏版（勿动、勿看）'!K78</f>
        <v>0</v>
      </c>
      <c r="L78" s="67">
        <f>'[1]特别隐藏版（勿动、勿看）'!L78</f>
        <v>0</v>
      </c>
      <c r="M78" s="67">
        <f>'[1]特别隐藏版（勿动、勿看）'!M78</f>
        <v>0</v>
      </c>
      <c r="N78" s="67">
        <f>'[1]特别隐藏版（勿动、勿看）'!N78</f>
        <v>0</v>
      </c>
      <c r="O78" s="67">
        <f>'[1]特别隐藏版（勿动、勿看）'!O78</f>
        <v>0</v>
      </c>
    </row>
    <row r="79" s="64" customFormat="1" spans="1:15">
      <c r="A79" s="70">
        <f>'[1]特别隐藏版（勿动、勿看）'!A79</f>
        <v>0</v>
      </c>
      <c r="B79" s="67" t="str">
        <f>'[1]特别隐藏版（勿动、勿看）'!B79</f>
        <v>销量完成</v>
      </c>
      <c r="C79" s="67">
        <f>'[1]特别隐藏版（勿动、勿看）'!C79</f>
        <v>0</v>
      </c>
      <c r="D79" s="67">
        <f>'[1]特别隐藏版（勿动、勿看）'!D79</f>
        <v>0</v>
      </c>
      <c r="E79" s="67">
        <f>'[1]特别隐藏版（勿动、勿看）'!E79</f>
        <v>0</v>
      </c>
      <c r="F79" s="67">
        <f>'[1]特别隐藏版（勿动、勿看）'!F79</f>
        <v>0</v>
      </c>
      <c r="G79" s="67">
        <f>'[1]特别隐藏版（勿动、勿看）'!G79</f>
        <v>0</v>
      </c>
      <c r="H79" s="67">
        <f>'[1]特别隐藏版（勿动、勿看）'!H79</f>
        <v>0</v>
      </c>
      <c r="I79" s="67">
        <f>'[1]特别隐藏版（勿动、勿看）'!I79</f>
        <v>0</v>
      </c>
      <c r="J79" s="67">
        <f>'[1]特别隐藏版（勿动、勿看）'!J79</f>
        <v>0</v>
      </c>
      <c r="K79" s="67">
        <f>'[1]特别隐藏版（勿动、勿看）'!K79</f>
        <v>0</v>
      </c>
      <c r="L79" s="67">
        <f>'[1]特别隐藏版（勿动、勿看）'!L79</f>
        <v>0</v>
      </c>
      <c r="M79" s="67">
        <f>'[1]特别隐藏版（勿动、勿看）'!M79</f>
        <v>0</v>
      </c>
      <c r="N79" s="67">
        <f>'[1]特别隐藏版（勿动、勿看）'!N79</f>
        <v>0</v>
      </c>
      <c r="O79" s="67">
        <f>'[1]特别隐藏版（勿动、勿看）'!O79</f>
        <v>0</v>
      </c>
    </row>
    <row r="80" s="64" customFormat="1" spans="1:15">
      <c r="A80" s="70">
        <f>'[1]特别隐藏版（勿动、勿看）'!A80</f>
        <v>0</v>
      </c>
      <c r="B80" s="67" t="str">
        <f>'[1]特别隐藏版（勿动、勿看）'!B80</f>
        <v>实销完成</v>
      </c>
      <c r="C80" s="67">
        <f>'[1]特别隐藏版（勿动、勿看）'!C80</f>
        <v>0</v>
      </c>
      <c r="D80" s="67">
        <f>'[1]特别隐藏版（勿动、勿看）'!D80</f>
        <v>0</v>
      </c>
      <c r="E80" s="67">
        <f>'[1]特别隐藏版（勿动、勿看）'!E80</f>
        <v>0</v>
      </c>
      <c r="F80" s="67">
        <f>'[1]特别隐藏版（勿动、勿看）'!F80</f>
        <v>0</v>
      </c>
      <c r="G80" s="67">
        <f>'[1]特别隐藏版（勿动、勿看）'!G80</f>
        <v>0</v>
      </c>
      <c r="H80" s="67">
        <f>'[1]特别隐藏版（勿动、勿看）'!H80</f>
        <v>0</v>
      </c>
      <c r="I80" s="67">
        <f>'[1]特别隐藏版（勿动、勿看）'!I80</f>
        <v>0</v>
      </c>
      <c r="J80" s="67">
        <f>'[1]特别隐藏版（勿动、勿看）'!J80</f>
        <v>0</v>
      </c>
      <c r="K80" s="67">
        <f>'[1]特别隐藏版（勿动、勿看）'!K80</f>
        <v>0</v>
      </c>
      <c r="L80" s="67">
        <f>'[1]特别隐藏版（勿动、勿看）'!L80</f>
        <v>0</v>
      </c>
      <c r="M80" s="67">
        <f>'[1]特别隐藏版（勿动、勿看）'!M80</f>
        <v>0</v>
      </c>
      <c r="N80" s="67">
        <f>'[1]特别隐藏版（勿动、勿看）'!N80</f>
        <v>0</v>
      </c>
      <c r="O80" s="67">
        <f>'[1]特别隐藏版（勿动、勿看）'!O80</f>
        <v>0</v>
      </c>
    </row>
    <row r="81" s="64" customFormat="1" spans="1:15">
      <c r="A81" s="70">
        <f>'[1]特别隐藏版（勿动、勿看）'!A81</f>
        <v>0</v>
      </c>
      <c r="B81" s="67" t="str">
        <f>'[1]特别隐藏版（勿动、勿看）'!B81</f>
        <v>GMV完成</v>
      </c>
      <c r="C81" s="67">
        <f>'[1]特别隐藏版（勿动、勿看）'!C81</f>
        <v>0</v>
      </c>
      <c r="D81" s="67">
        <f>'[1]特别隐藏版（勿动、勿看）'!D81</f>
        <v>0</v>
      </c>
      <c r="E81" s="67">
        <f>'[1]特别隐藏版（勿动、勿看）'!E81</f>
        <v>0</v>
      </c>
      <c r="F81" s="67">
        <f>'[1]特别隐藏版（勿动、勿看）'!F81</f>
        <v>0</v>
      </c>
      <c r="G81" s="67">
        <f>'[1]特别隐藏版（勿动、勿看）'!G81</f>
        <v>0</v>
      </c>
      <c r="H81" s="67">
        <f>'[1]特别隐藏版（勿动、勿看）'!H81</f>
        <v>0</v>
      </c>
      <c r="I81" s="67">
        <f>'[1]特别隐藏版（勿动、勿看）'!I81</f>
        <v>0</v>
      </c>
      <c r="J81" s="67">
        <f>'[1]特别隐藏版（勿动、勿看）'!J81</f>
        <v>0</v>
      </c>
      <c r="K81" s="67">
        <f>'[1]特别隐藏版（勿动、勿看）'!K81</f>
        <v>0</v>
      </c>
      <c r="L81" s="67">
        <f>'[1]特别隐藏版（勿动、勿看）'!L81</f>
        <v>0</v>
      </c>
      <c r="M81" s="67">
        <f>'[1]特别隐藏版（勿动、勿看）'!M81</f>
        <v>0</v>
      </c>
      <c r="N81" s="67">
        <f>'[1]特别隐藏版（勿动、勿看）'!N81</f>
        <v>0</v>
      </c>
      <c r="O81" s="67">
        <f>'[1]特别隐藏版（勿动、勿看）'!O81</f>
        <v>0</v>
      </c>
    </row>
    <row r="82" s="64" customFormat="1" spans="1:15">
      <c r="A82" s="70">
        <f>'[1]特别隐藏版（勿动、勿看）'!A82</f>
        <v>0</v>
      </c>
      <c r="B82" s="67" t="str">
        <f>'[1]特别隐藏版（勿动、勿看）'!B82</f>
        <v>GSV完成</v>
      </c>
      <c r="C82" s="67">
        <f>'[1]特别隐藏版（勿动、勿看）'!C82</f>
        <v>0</v>
      </c>
      <c r="D82" s="67">
        <f>'[1]特别隐藏版（勿动、勿看）'!D82</f>
        <v>0</v>
      </c>
      <c r="E82" s="67">
        <f>'[1]特别隐藏版（勿动、勿看）'!E82</f>
        <v>0</v>
      </c>
      <c r="F82" s="67">
        <f>'[1]特别隐藏版（勿动、勿看）'!F82</f>
        <v>0</v>
      </c>
      <c r="G82" s="67">
        <f>'[1]特别隐藏版（勿动、勿看）'!G82</f>
        <v>0</v>
      </c>
      <c r="H82" s="67">
        <f>'[1]特别隐藏版（勿动、勿看）'!H82</f>
        <v>0</v>
      </c>
      <c r="I82" s="67">
        <f>'[1]特别隐藏版（勿动、勿看）'!I82</f>
        <v>0</v>
      </c>
      <c r="J82" s="67">
        <f>'[1]特别隐藏版（勿动、勿看）'!J82</f>
        <v>0</v>
      </c>
      <c r="K82" s="67">
        <f>'[1]特别隐藏版（勿动、勿看）'!K82</f>
        <v>0</v>
      </c>
      <c r="L82" s="67">
        <f>'[1]特别隐藏版（勿动、勿看）'!L82</f>
        <v>0</v>
      </c>
      <c r="M82" s="67">
        <f>'[1]特别隐藏版（勿动、勿看）'!M82</f>
        <v>0</v>
      </c>
      <c r="N82" s="67">
        <f>'[1]特别隐藏版（勿动、勿看）'!N82</f>
        <v>0</v>
      </c>
      <c r="O82" s="67">
        <f>'[1]特别隐藏版（勿动、勿看）'!O82</f>
        <v>0</v>
      </c>
    </row>
    <row r="83" s="64" customFormat="1" spans="1:15">
      <c r="A83" s="70">
        <f>'[1]特别隐藏版（勿动、勿看）'!A83</f>
        <v>0</v>
      </c>
      <c r="B83" s="67" t="str">
        <f>'[1]特别隐藏版（勿动、勿看）'!B83</f>
        <v>退款率</v>
      </c>
      <c r="C83" s="5" t="e">
        <f>'[1]特别隐藏版（勿动、勿看）'!C83</f>
        <v>#DIV/0!</v>
      </c>
      <c r="D83" s="5" t="e">
        <f>'[1]特别隐藏版（勿动、勿看）'!D83</f>
        <v>#DIV/0!</v>
      </c>
      <c r="E83" s="5" t="e">
        <f>'[1]特别隐藏版（勿动、勿看）'!E83</f>
        <v>#DIV/0!</v>
      </c>
      <c r="F83" s="5" t="e">
        <f>'[1]特别隐藏版（勿动、勿看）'!F83</f>
        <v>#DIV/0!</v>
      </c>
      <c r="G83" s="5" t="e">
        <f>'[1]特别隐藏版（勿动、勿看）'!G83</f>
        <v>#DIV/0!</v>
      </c>
      <c r="H83" s="5" t="e">
        <f>'[1]特别隐藏版（勿动、勿看）'!H83</f>
        <v>#DIV/0!</v>
      </c>
      <c r="I83" s="5" t="e">
        <f>'[1]特别隐藏版（勿动、勿看）'!I83</f>
        <v>#DIV/0!</v>
      </c>
      <c r="J83" s="5" t="e">
        <f>'[1]特别隐藏版（勿动、勿看）'!J83</f>
        <v>#DIV/0!</v>
      </c>
      <c r="K83" s="5" t="e">
        <f>'[1]特别隐藏版（勿动、勿看）'!K83</f>
        <v>#DIV/0!</v>
      </c>
      <c r="L83" s="5" t="e">
        <f>'[1]特别隐藏版（勿动、勿看）'!L83</f>
        <v>#DIV/0!</v>
      </c>
      <c r="M83" s="5" t="e">
        <f>'[1]特别隐藏版（勿动、勿看）'!M83</f>
        <v>#DIV/0!</v>
      </c>
      <c r="N83" s="5" t="e">
        <f>'[1]特别隐藏版（勿动、勿看）'!N83</f>
        <v>#DIV/0!</v>
      </c>
      <c r="O83" s="5" t="e">
        <f>'[1]特别隐藏版（勿动、勿看）'!O83</f>
        <v>#DIV/0!</v>
      </c>
    </row>
    <row r="84" s="64" customFormat="1" spans="1:15">
      <c r="A84" s="70">
        <f>'[1]特别隐藏版（勿动、勿看）'!A84</f>
        <v>0</v>
      </c>
      <c r="B84" s="67" t="str">
        <f>'[1]特别隐藏版（勿动、勿看）'!B84</f>
        <v>退货率</v>
      </c>
      <c r="C84" s="5" t="e">
        <f>'[1]特别隐藏版（勿动、勿看）'!C84</f>
        <v>#DIV/0!</v>
      </c>
      <c r="D84" s="5" t="e">
        <f>'[1]特别隐藏版（勿动、勿看）'!D84</f>
        <v>#DIV/0!</v>
      </c>
      <c r="E84" s="5" t="e">
        <f>'[1]特别隐藏版（勿动、勿看）'!E84</f>
        <v>#DIV/0!</v>
      </c>
      <c r="F84" s="5" t="e">
        <f>'[1]特别隐藏版（勿动、勿看）'!F84</f>
        <v>#DIV/0!</v>
      </c>
      <c r="G84" s="5" t="e">
        <f>'[1]特别隐藏版（勿动、勿看）'!G84</f>
        <v>#DIV/0!</v>
      </c>
      <c r="H84" s="5" t="e">
        <f>'[1]特别隐藏版（勿动、勿看）'!H84</f>
        <v>#DIV/0!</v>
      </c>
      <c r="I84" s="5" t="e">
        <f>'[1]特别隐藏版（勿动、勿看）'!I84</f>
        <v>#DIV/0!</v>
      </c>
      <c r="J84" s="5" t="e">
        <f>'[1]特别隐藏版（勿动、勿看）'!J84</f>
        <v>#DIV/0!</v>
      </c>
      <c r="K84" s="5" t="e">
        <f>'[1]特别隐藏版（勿动、勿看）'!K84</f>
        <v>#DIV/0!</v>
      </c>
      <c r="L84" s="5" t="e">
        <f>'[1]特别隐藏版（勿动、勿看）'!L84</f>
        <v>#DIV/0!</v>
      </c>
      <c r="M84" s="5" t="e">
        <f>'[1]特别隐藏版（勿动、勿看）'!M84</f>
        <v>#DIV/0!</v>
      </c>
      <c r="N84" s="5" t="e">
        <f>'[1]特别隐藏版（勿动、勿看）'!N84</f>
        <v>#DIV/0!</v>
      </c>
      <c r="O84" s="5" t="e">
        <f>'[1]特别隐藏版（勿动、勿看）'!O84</f>
        <v>#DIV/0!</v>
      </c>
    </row>
    <row r="85" s="64" customFormat="1" spans="1:15">
      <c r="A85" s="76">
        <f>'[1]特别隐藏版（勿动、勿看）'!A85</f>
        <v>0</v>
      </c>
      <c r="B85" s="67" t="str">
        <f>'[1]特别隐藏版（勿动、勿看）'!B85</f>
        <v>利润率</v>
      </c>
      <c r="C85" s="5" t="e">
        <f>'[1]特别隐藏版（勿动、勿看）'!C85</f>
        <v>#DIV/0!</v>
      </c>
      <c r="D85" s="5" t="e">
        <f>'[1]特别隐藏版（勿动、勿看）'!D85</f>
        <v>#DIV/0!</v>
      </c>
      <c r="E85" s="5" t="e">
        <f>'[1]特别隐藏版（勿动、勿看）'!E85</f>
        <v>#DIV/0!</v>
      </c>
      <c r="F85" s="5" t="e">
        <f>'[1]特别隐藏版（勿动、勿看）'!F85</f>
        <v>#DIV/0!</v>
      </c>
      <c r="G85" s="5" t="e">
        <f>'[1]特别隐藏版（勿动、勿看）'!G85</f>
        <v>#DIV/0!</v>
      </c>
      <c r="H85" s="5" t="e">
        <f>'[1]特别隐藏版（勿动、勿看）'!H85</f>
        <v>#DIV/0!</v>
      </c>
      <c r="I85" s="5" t="e">
        <f>'[1]特别隐藏版（勿动、勿看）'!I85</f>
        <v>#DIV/0!</v>
      </c>
      <c r="J85" s="5" t="e">
        <f>'[1]特别隐藏版（勿动、勿看）'!J85</f>
        <v>#DIV/0!</v>
      </c>
      <c r="K85" s="5" t="e">
        <f>'[1]特别隐藏版（勿动、勿看）'!K85</f>
        <v>#DIV/0!</v>
      </c>
      <c r="L85" s="5" t="e">
        <f>'[1]特别隐藏版（勿动、勿看）'!L85</f>
        <v>#DIV/0!</v>
      </c>
      <c r="M85" s="5" t="e">
        <f>'[1]特别隐藏版（勿动、勿看）'!M85</f>
        <v>#DIV/0!</v>
      </c>
      <c r="N85" s="5" t="e">
        <f>'[1]特别隐藏版（勿动、勿看）'!N85</f>
        <v>#DIV/0!</v>
      </c>
      <c r="O85" s="5" t="e">
        <f>'[1]特别隐藏版（勿动、勿看）'!O85</f>
        <v>#DIV/0!</v>
      </c>
    </row>
    <row r="86" s="64" customFormat="1" spans="1:15">
      <c r="A86" s="69" t="str">
        <f>'[1]特别隐藏版（勿动、勿看）'!A86</f>
        <v>新店3</v>
      </c>
      <c r="B86" s="67" t="str">
        <f>'[1]特别隐藏版（勿动、勿看）'!B86</f>
        <v>实际利润（人民币）</v>
      </c>
      <c r="C86" s="67">
        <f>'[1]特别隐藏版（勿动、勿看）'!C86</f>
        <v>0</v>
      </c>
      <c r="D86" s="67">
        <f>'[1]特别隐藏版（勿动、勿看）'!D86</f>
        <v>0</v>
      </c>
      <c r="E86" s="67">
        <f>'[1]特别隐藏版（勿动、勿看）'!E86</f>
        <v>0</v>
      </c>
      <c r="F86" s="67">
        <f>'[1]特别隐藏版（勿动、勿看）'!F86</f>
        <v>0</v>
      </c>
      <c r="G86" s="67">
        <f>'[1]特别隐藏版（勿动、勿看）'!G86</f>
        <v>0</v>
      </c>
      <c r="H86" s="67">
        <f>'[1]特别隐藏版（勿动、勿看）'!H86</f>
        <v>0</v>
      </c>
      <c r="I86" s="67">
        <f>'[1]特别隐藏版（勿动、勿看）'!I86</f>
        <v>0</v>
      </c>
      <c r="J86" s="67">
        <f>'[1]特别隐藏版（勿动、勿看）'!J86</f>
        <v>0</v>
      </c>
      <c r="K86" s="67">
        <f>'[1]特别隐藏版（勿动、勿看）'!K86</f>
        <v>0</v>
      </c>
      <c r="L86" s="67">
        <f>'[1]特别隐藏版（勿动、勿看）'!L86</f>
        <v>0</v>
      </c>
      <c r="M86" s="67">
        <f>'[1]特别隐藏版（勿动、勿看）'!M86</f>
        <v>0</v>
      </c>
      <c r="N86" s="67">
        <f>'[1]特别隐藏版（勿动、勿看）'!N86</f>
        <v>0</v>
      </c>
      <c r="O86" s="67">
        <f>'[1]特别隐藏版（勿动、勿看）'!O86</f>
        <v>0</v>
      </c>
    </row>
    <row r="87" s="64" customFormat="1" spans="1:15">
      <c r="A87" s="70">
        <f>'[1]特别隐藏版（勿动、勿看）'!A87</f>
        <v>0</v>
      </c>
      <c r="B87" s="67" t="str">
        <f>'[1]特别隐藏版（勿动、勿看）'!B87</f>
        <v>销量完成</v>
      </c>
      <c r="C87" s="67">
        <f>'[1]特别隐藏版（勿动、勿看）'!C87</f>
        <v>0</v>
      </c>
      <c r="D87" s="67">
        <f>'[1]特别隐藏版（勿动、勿看）'!D87</f>
        <v>0</v>
      </c>
      <c r="E87" s="67">
        <f>'[1]特别隐藏版（勿动、勿看）'!E87</f>
        <v>0</v>
      </c>
      <c r="F87" s="67">
        <f>'[1]特别隐藏版（勿动、勿看）'!F87</f>
        <v>0</v>
      </c>
      <c r="G87" s="67">
        <f>'[1]特别隐藏版（勿动、勿看）'!G87</f>
        <v>0</v>
      </c>
      <c r="H87" s="67">
        <f>'[1]特别隐藏版（勿动、勿看）'!H87</f>
        <v>0</v>
      </c>
      <c r="I87" s="67">
        <f>'[1]特别隐藏版（勿动、勿看）'!I87</f>
        <v>0</v>
      </c>
      <c r="J87" s="67">
        <f>'[1]特别隐藏版（勿动、勿看）'!J87</f>
        <v>0</v>
      </c>
      <c r="K87" s="67">
        <f>'[1]特别隐藏版（勿动、勿看）'!K87</f>
        <v>0</v>
      </c>
      <c r="L87" s="67">
        <f>'[1]特别隐藏版（勿动、勿看）'!L87</f>
        <v>0</v>
      </c>
      <c r="M87" s="67">
        <f>'[1]特别隐藏版（勿动、勿看）'!M87</f>
        <v>0</v>
      </c>
      <c r="N87" s="67">
        <f>'[1]特别隐藏版（勿动、勿看）'!N87</f>
        <v>0</v>
      </c>
      <c r="O87" s="67">
        <f>'[1]特别隐藏版（勿动、勿看）'!O87</f>
        <v>0</v>
      </c>
    </row>
    <row r="88" s="64" customFormat="1" spans="1:15">
      <c r="A88" s="70">
        <f>'[1]特别隐藏版（勿动、勿看）'!A88</f>
        <v>0</v>
      </c>
      <c r="B88" s="67" t="str">
        <f>'[1]特别隐藏版（勿动、勿看）'!B88</f>
        <v>实销完成</v>
      </c>
      <c r="C88" s="67">
        <f>'[1]特别隐藏版（勿动、勿看）'!C88</f>
        <v>0</v>
      </c>
      <c r="D88" s="67">
        <f>'[1]特别隐藏版（勿动、勿看）'!D88</f>
        <v>0</v>
      </c>
      <c r="E88" s="67">
        <f>'[1]特别隐藏版（勿动、勿看）'!E88</f>
        <v>0</v>
      </c>
      <c r="F88" s="67">
        <f>'[1]特别隐藏版（勿动、勿看）'!F88</f>
        <v>0</v>
      </c>
      <c r="G88" s="67">
        <f>'[1]特别隐藏版（勿动、勿看）'!G88</f>
        <v>0</v>
      </c>
      <c r="H88" s="67">
        <f>'[1]特别隐藏版（勿动、勿看）'!H88</f>
        <v>0</v>
      </c>
      <c r="I88" s="67">
        <f>'[1]特别隐藏版（勿动、勿看）'!I88</f>
        <v>0</v>
      </c>
      <c r="J88" s="67">
        <f>'[1]特别隐藏版（勿动、勿看）'!J88</f>
        <v>0</v>
      </c>
      <c r="K88" s="67">
        <f>'[1]特别隐藏版（勿动、勿看）'!K88</f>
        <v>0</v>
      </c>
      <c r="L88" s="67">
        <f>'[1]特别隐藏版（勿动、勿看）'!L88</f>
        <v>0</v>
      </c>
      <c r="M88" s="67">
        <f>'[1]特别隐藏版（勿动、勿看）'!M88</f>
        <v>0</v>
      </c>
      <c r="N88" s="67">
        <f>'[1]特别隐藏版（勿动、勿看）'!N88</f>
        <v>0</v>
      </c>
      <c r="O88" s="67">
        <f>'[1]特别隐藏版（勿动、勿看）'!O88</f>
        <v>0</v>
      </c>
    </row>
    <row r="89" s="64" customFormat="1" spans="1:15">
      <c r="A89" s="70">
        <f>'[1]特别隐藏版（勿动、勿看）'!A89</f>
        <v>0</v>
      </c>
      <c r="B89" s="67" t="str">
        <f>'[1]特别隐藏版（勿动、勿看）'!B89</f>
        <v>GMV完成</v>
      </c>
      <c r="C89" s="67">
        <f>'[1]特别隐藏版（勿动、勿看）'!C89</f>
        <v>0</v>
      </c>
      <c r="D89" s="67">
        <f>'[1]特别隐藏版（勿动、勿看）'!D89</f>
        <v>0</v>
      </c>
      <c r="E89" s="67">
        <f>'[1]特别隐藏版（勿动、勿看）'!E89</f>
        <v>0</v>
      </c>
      <c r="F89" s="67">
        <f>'[1]特别隐藏版（勿动、勿看）'!F89</f>
        <v>0</v>
      </c>
      <c r="G89" s="67">
        <f>'[1]特别隐藏版（勿动、勿看）'!G89</f>
        <v>0</v>
      </c>
      <c r="H89" s="67">
        <f>'[1]特别隐藏版（勿动、勿看）'!H89</f>
        <v>0</v>
      </c>
      <c r="I89" s="67">
        <f>'[1]特别隐藏版（勿动、勿看）'!I89</f>
        <v>0</v>
      </c>
      <c r="J89" s="67">
        <f>'[1]特别隐藏版（勿动、勿看）'!J89</f>
        <v>0</v>
      </c>
      <c r="K89" s="67">
        <f>'[1]特别隐藏版（勿动、勿看）'!K89</f>
        <v>0</v>
      </c>
      <c r="L89" s="67">
        <f>'[1]特别隐藏版（勿动、勿看）'!L89</f>
        <v>0</v>
      </c>
      <c r="M89" s="67">
        <f>'[1]特别隐藏版（勿动、勿看）'!M89</f>
        <v>0</v>
      </c>
      <c r="N89" s="67">
        <f>'[1]特别隐藏版（勿动、勿看）'!N89</f>
        <v>0</v>
      </c>
      <c r="O89" s="67">
        <f>'[1]特别隐藏版（勿动、勿看）'!O89</f>
        <v>0</v>
      </c>
    </row>
    <row r="90" s="64" customFormat="1" spans="1:15">
      <c r="A90" s="70">
        <f>'[1]特别隐藏版（勿动、勿看）'!A90</f>
        <v>0</v>
      </c>
      <c r="B90" s="67" t="str">
        <f>'[1]特别隐藏版（勿动、勿看）'!B90</f>
        <v>GSV完成</v>
      </c>
      <c r="C90" s="67">
        <f>'[1]特别隐藏版（勿动、勿看）'!C90</f>
        <v>0</v>
      </c>
      <c r="D90" s="67">
        <f>'[1]特别隐藏版（勿动、勿看）'!D90</f>
        <v>0</v>
      </c>
      <c r="E90" s="67">
        <f>'[1]特别隐藏版（勿动、勿看）'!E90</f>
        <v>0</v>
      </c>
      <c r="F90" s="67">
        <f>'[1]特别隐藏版（勿动、勿看）'!F90</f>
        <v>0</v>
      </c>
      <c r="G90" s="67">
        <f>'[1]特别隐藏版（勿动、勿看）'!G90</f>
        <v>0</v>
      </c>
      <c r="H90" s="67">
        <f>'[1]特别隐藏版（勿动、勿看）'!H90</f>
        <v>0</v>
      </c>
      <c r="I90" s="67">
        <f>'[1]特别隐藏版（勿动、勿看）'!I90</f>
        <v>0</v>
      </c>
      <c r="J90" s="67">
        <f>'[1]特别隐藏版（勿动、勿看）'!J90</f>
        <v>0</v>
      </c>
      <c r="K90" s="67">
        <f>'[1]特别隐藏版（勿动、勿看）'!K90</f>
        <v>0</v>
      </c>
      <c r="L90" s="67">
        <f>'[1]特别隐藏版（勿动、勿看）'!L90</f>
        <v>0</v>
      </c>
      <c r="M90" s="67">
        <f>'[1]特别隐藏版（勿动、勿看）'!M90</f>
        <v>0</v>
      </c>
      <c r="N90" s="67">
        <f>'[1]特别隐藏版（勿动、勿看）'!N90</f>
        <v>0</v>
      </c>
      <c r="O90" s="67">
        <f>'[1]特别隐藏版（勿动、勿看）'!O90</f>
        <v>0</v>
      </c>
    </row>
    <row r="91" s="64" customFormat="1" spans="1:15">
      <c r="A91" s="70">
        <f>'[1]特别隐藏版（勿动、勿看）'!A91</f>
        <v>0</v>
      </c>
      <c r="B91" s="67" t="str">
        <f>'[1]特别隐藏版（勿动、勿看）'!B91</f>
        <v>退款率</v>
      </c>
      <c r="C91" s="5" t="e">
        <f>'[1]特别隐藏版（勿动、勿看）'!C91</f>
        <v>#DIV/0!</v>
      </c>
      <c r="D91" s="5" t="e">
        <f>'[1]特别隐藏版（勿动、勿看）'!D91</f>
        <v>#DIV/0!</v>
      </c>
      <c r="E91" s="5" t="e">
        <f>'[1]特别隐藏版（勿动、勿看）'!E91</f>
        <v>#DIV/0!</v>
      </c>
      <c r="F91" s="5" t="e">
        <f>'[1]特别隐藏版（勿动、勿看）'!F91</f>
        <v>#DIV/0!</v>
      </c>
      <c r="G91" s="5" t="e">
        <f>'[1]特别隐藏版（勿动、勿看）'!G91</f>
        <v>#DIV/0!</v>
      </c>
      <c r="H91" s="5" t="e">
        <f>'[1]特别隐藏版（勿动、勿看）'!H91</f>
        <v>#DIV/0!</v>
      </c>
      <c r="I91" s="5" t="e">
        <f>'[1]特别隐藏版（勿动、勿看）'!I91</f>
        <v>#DIV/0!</v>
      </c>
      <c r="J91" s="5" t="e">
        <f>'[1]特别隐藏版（勿动、勿看）'!J91</f>
        <v>#DIV/0!</v>
      </c>
      <c r="K91" s="5" t="e">
        <f>'[1]特别隐藏版（勿动、勿看）'!K91</f>
        <v>#DIV/0!</v>
      </c>
      <c r="L91" s="5" t="e">
        <f>'[1]特别隐藏版（勿动、勿看）'!L91</f>
        <v>#DIV/0!</v>
      </c>
      <c r="M91" s="5" t="e">
        <f>'[1]特别隐藏版（勿动、勿看）'!M91</f>
        <v>#DIV/0!</v>
      </c>
      <c r="N91" s="5" t="e">
        <f>'[1]特别隐藏版（勿动、勿看）'!N91</f>
        <v>#DIV/0!</v>
      </c>
      <c r="O91" s="5" t="e">
        <f>'[1]特别隐藏版（勿动、勿看）'!O91</f>
        <v>#DIV/0!</v>
      </c>
    </row>
    <row r="92" s="64" customFormat="1" spans="1:15">
      <c r="A92" s="70">
        <f>'[1]特别隐藏版（勿动、勿看）'!A92</f>
        <v>0</v>
      </c>
      <c r="B92" s="67" t="str">
        <f>'[1]特别隐藏版（勿动、勿看）'!B92</f>
        <v>退货率</v>
      </c>
      <c r="C92" s="5" t="e">
        <f>'[1]特别隐藏版（勿动、勿看）'!C92</f>
        <v>#DIV/0!</v>
      </c>
      <c r="D92" s="5" t="e">
        <f>'[1]特别隐藏版（勿动、勿看）'!D92</f>
        <v>#DIV/0!</v>
      </c>
      <c r="E92" s="5" t="e">
        <f>'[1]特别隐藏版（勿动、勿看）'!E92</f>
        <v>#DIV/0!</v>
      </c>
      <c r="F92" s="5" t="e">
        <f>'[1]特别隐藏版（勿动、勿看）'!F92</f>
        <v>#DIV/0!</v>
      </c>
      <c r="G92" s="5" t="e">
        <f>'[1]特别隐藏版（勿动、勿看）'!G92</f>
        <v>#DIV/0!</v>
      </c>
      <c r="H92" s="5" t="e">
        <f>'[1]特别隐藏版（勿动、勿看）'!H92</f>
        <v>#DIV/0!</v>
      </c>
      <c r="I92" s="5" t="e">
        <f>'[1]特别隐藏版（勿动、勿看）'!I92</f>
        <v>#DIV/0!</v>
      </c>
      <c r="J92" s="5" t="e">
        <f>'[1]特别隐藏版（勿动、勿看）'!J92</f>
        <v>#DIV/0!</v>
      </c>
      <c r="K92" s="5" t="e">
        <f>'[1]特别隐藏版（勿动、勿看）'!K92</f>
        <v>#DIV/0!</v>
      </c>
      <c r="L92" s="5" t="e">
        <f>'[1]特别隐藏版（勿动、勿看）'!L92</f>
        <v>#DIV/0!</v>
      </c>
      <c r="M92" s="5" t="e">
        <f>'[1]特别隐藏版（勿动、勿看）'!M92</f>
        <v>#DIV/0!</v>
      </c>
      <c r="N92" s="5" t="e">
        <f>'[1]特别隐藏版（勿动、勿看）'!N92</f>
        <v>#DIV/0!</v>
      </c>
      <c r="O92" s="5" t="e">
        <f>'[1]特别隐藏版（勿动、勿看）'!O92</f>
        <v>#DIV/0!</v>
      </c>
    </row>
    <row r="93" s="64" customFormat="1" spans="1:15">
      <c r="A93" s="76">
        <f>'[1]特别隐藏版（勿动、勿看）'!A93</f>
        <v>0</v>
      </c>
      <c r="B93" s="67" t="str">
        <f>'[1]特别隐藏版（勿动、勿看）'!B93</f>
        <v>利润率</v>
      </c>
      <c r="C93" s="5" t="e">
        <f>'[1]特别隐藏版（勿动、勿看）'!C93</f>
        <v>#DIV/0!</v>
      </c>
      <c r="D93" s="5" t="e">
        <f>'[1]特别隐藏版（勿动、勿看）'!D93</f>
        <v>#DIV/0!</v>
      </c>
      <c r="E93" s="5" t="e">
        <f>'[1]特别隐藏版（勿动、勿看）'!E93</f>
        <v>#DIV/0!</v>
      </c>
      <c r="F93" s="5" t="e">
        <f>'[1]特别隐藏版（勿动、勿看）'!F93</f>
        <v>#DIV/0!</v>
      </c>
      <c r="G93" s="5" t="e">
        <f>'[1]特别隐藏版（勿动、勿看）'!G93</f>
        <v>#DIV/0!</v>
      </c>
      <c r="H93" s="5" t="e">
        <f>'[1]特别隐藏版（勿动、勿看）'!H93</f>
        <v>#DIV/0!</v>
      </c>
      <c r="I93" s="5" t="e">
        <f>'[1]特别隐藏版（勿动、勿看）'!I93</f>
        <v>#DIV/0!</v>
      </c>
      <c r="J93" s="5" t="e">
        <f>'[1]特别隐藏版（勿动、勿看）'!J93</f>
        <v>#DIV/0!</v>
      </c>
      <c r="K93" s="5" t="e">
        <f>'[1]特别隐藏版（勿动、勿看）'!K93</f>
        <v>#DIV/0!</v>
      </c>
      <c r="L93" s="5" t="e">
        <f>'[1]特别隐藏版（勿动、勿看）'!L93</f>
        <v>#DIV/0!</v>
      </c>
      <c r="M93" s="5" t="e">
        <f>'[1]特别隐藏版（勿动、勿看）'!M93</f>
        <v>#DIV/0!</v>
      </c>
      <c r="N93" s="5" t="e">
        <f>'[1]特别隐藏版（勿动、勿看）'!N93</f>
        <v>#DIV/0!</v>
      </c>
      <c r="O93" s="5" t="e">
        <f>'[1]特别隐藏版（勿动、勿看）'!O93</f>
        <v>#DIV/0!</v>
      </c>
    </row>
    <row r="94" s="64" customFormat="1" spans="1:15">
      <c r="A94" s="69" t="str">
        <f>'[1]特别隐藏版（勿动、勿看）'!A94</f>
        <v>新店4</v>
      </c>
      <c r="B94" s="67" t="str">
        <f>'[1]特别隐藏版（勿动、勿看）'!B94</f>
        <v>实际利润（人民币）</v>
      </c>
      <c r="C94" s="67">
        <f>'[1]特别隐藏版（勿动、勿看）'!C94</f>
        <v>0</v>
      </c>
      <c r="D94" s="67">
        <f>'[1]特别隐藏版（勿动、勿看）'!D94</f>
        <v>0</v>
      </c>
      <c r="E94" s="67">
        <f>'[1]特别隐藏版（勿动、勿看）'!E94</f>
        <v>0</v>
      </c>
      <c r="F94" s="67">
        <f>'[1]特别隐藏版（勿动、勿看）'!F94</f>
        <v>0</v>
      </c>
      <c r="G94" s="67">
        <f>'[1]特别隐藏版（勿动、勿看）'!G94</f>
        <v>0</v>
      </c>
      <c r="H94" s="67">
        <f>'[1]特别隐藏版（勿动、勿看）'!H94</f>
        <v>0</v>
      </c>
      <c r="I94" s="67">
        <f>'[1]特别隐藏版（勿动、勿看）'!I94</f>
        <v>0</v>
      </c>
      <c r="J94" s="67">
        <f>'[1]特别隐藏版（勿动、勿看）'!J94</f>
        <v>0</v>
      </c>
      <c r="K94" s="67">
        <f>'[1]特别隐藏版（勿动、勿看）'!K94</f>
        <v>0</v>
      </c>
      <c r="L94" s="67">
        <f>'[1]特别隐藏版（勿动、勿看）'!L94</f>
        <v>0</v>
      </c>
      <c r="M94" s="67">
        <f>'[1]特别隐藏版（勿动、勿看）'!M94</f>
        <v>0</v>
      </c>
      <c r="N94" s="67">
        <f>'[1]特别隐藏版（勿动、勿看）'!N94</f>
        <v>0</v>
      </c>
      <c r="O94" s="67">
        <f>'[1]特别隐藏版（勿动、勿看）'!O94</f>
        <v>0</v>
      </c>
    </row>
    <row r="95" s="64" customFormat="1" spans="1:15">
      <c r="A95" s="70">
        <f>'[1]特别隐藏版（勿动、勿看）'!A95</f>
        <v>0</v>
      </c>
      <c r="B95" s="67" t="str">
        <f>'[1]特别隐藏版（勿动、勿看）'!B95</f>
        <v>销量完成</v>
      </c>
      <c r="C95" s="67">
        <f>'[1]特别隐藏版（勿动、勿看）'!C95</f>
        <v>0</v>
      </c>
      <c r="D95" s="67">
        <f>'[1]特别隐藏版（勿动、勿看）'!D95</f>
        <v>0</v>
      </c>
      <c r="E95" s="67">
        <f>'[1]特别隐藏版（勿动、勿看）'!E95</f>
        <v>0</v>
      </c>
      <c r="F95" s="67">
        <f>'[1]特别隐藏版（勿动、勿看）'!F95</f>
        <v>0</v>
      </c>
      <c r="G95" s="67">
        <f>'[1]特别隐藏版（勿动、勿看）'!G95</f>
        <v>0</v>
      </c>
      <c r="H95" s="67">
        <f>'[1]特别隐藏版（勿动、勿看）'!H95</f>
        <v>0</v>
      </c>
      <c r="I95" s="67">
        <f>'[1]特别隐藏版（勿动、勿看）'!I95</f>
        <v>0</v>
      </c>
      <c r="J95" s="67">
        <f>'[1]特别隐藏版（勿动、勿看）'!J95</f>
        <v>0</v>
      </c>
      <c r="K95" s="67">
        <f>'[1]特别隐藏版（勿动、勿看）'!K95</f>
        <v>0</v>
      </c>
      <c r="L95" s="67">
        <f>'[1]特别隐藏版（勿动、勿看）'!L95</f>
        <v>0</v>
      </c>
      <c r="M95" s="67">
        <f>'[1]特别隐藏版（勿动、勿看）'!M95</f>
        <v>0</v>
      </c>
      <c r="N95" s="67">
        <f>'[1]特别隐藏版（勿动、勿看）'!N95</f>
        <v>0</v>
      </c>
      <c r="O95" s="67">
        <f>'[1]特别隐藏版（勿动、勿看）'!O95</f>
        <v>0</v>
      </c>
    </row>
    <row r="96" s="64" customFormat="1" spans="1:15">
      <c r="A96" s="70">
        <f>'[1]特别隐藏版（勿动、勿看）'!A96</f>
        <v>0</v>
      </c>
      <c r="B96" s="67" t="str">
        <f>'[1]特别隐藏版（勿动、勿看）'!B96</f>
        <v>实销完成</v>
      </c>
      <c r="C96" s="67">
        <f>'[1]特别隐藏版（勿动、勿看）'!C96</f>
        <v>0</v>
      </c>
      <c r="D96" s="67">
        <f>'[1]特别隐藏版（勿动、勿看）'!D96</f>
        <v>0</v>
      </c>
      <c r="E96" s="67">
        <f>'[1]特别隐藏版（勿动、勿看）'!E96</f>
        <v>0</v>
      </c>
      <c r="F96" s="67">
        <f>'[1]特别隐藏版（勿动、勿看）'!F96</f>
        <v>0</v>
      </c>
      <c r="G96" s="67">
        <f>'[1]特别隐藏版（勿动、勿看）'!G96</f>
        <v>0</v>
      </c>
      <c r="H96" s="67">
        <f>'[1]特别隐藏版（勿动、勿看）'!H96</f>
        <v>0</v>
      </c>
      <c r="I96" s="67">
        <f>'[1]特别隐藏版（勿动、勿看）'!I96</f>
        <v>0</v>
      </c>
      <c r="J96" s="67">
        <f>'[1]特别隐藏版（勿动、勿看）'!J96</f>
        <v>0</v>
      </c>
      <c r="K96" s="67">
        <f>'[1]特别隐藏版（勿动、勿看）'!K96</f>
        <v>0</v>
      </c>
      <c r="L96" s="67">
        <f>'[1]特别隐藏版（勿动、勿看）'!L96</f>
        <v>0</v>
      </c>
      <c r="M96" s="67">
        <f>'[1]特别隐藏版（勿动、勿看）'!M96</f>
        <v>0</v>
      </c>
      <c r="N96" s="67">
        <f>'[1]特别隐藏版（勿动、勿看）'!N96</f>
        <v>0</v>
      </c>
      <c r="O96" s="67">
        <f>'[1]特别隐藏版（勿动、勿看）'!O96</f>
        <v>0</v>
      </c>
    </row>
    <row r="97" s="64" customFormat="1" spans="1:15">
      <c r="A97" s="70">
        <f>'[1]特别隐藏版（勿动、勿看）'!A97</f>
        <v>0</v>
      </c>
      <c r="B97" s="67" t="str">
        <f>'[1]特别隐藏版（勿动、勿看）'!B97</f>
        <v>GMV完成</v>
      </c>
      <c r="C97" s="67">
        <f>'[1]特别隐藏版（勿动、勿看）'!C97</f>
        <v>0</v>
      </c>
      <c r="D97" s="67">
        <f>'[1]特别隐藏版（勿动、勿看）'!D97</f>
        <v>0</v>
      </c>
      <c r="E97" s="67">
        <f>'[1]特别隐藏版（勿动、勿看）'!E97</f>
        <v>0</v>
      </c>
      <c r="F97" s="67">
        <f>'[1]特别隐藏版（勿动、勿看）'!F97</f>
        <v>0</v>
      </c>
      <c r="G97" s="67">
        <f>'[1]特别隐藏版（勿动、勿看）'!G97</f>
        <v>0</v>
      </c>
      <c r="H97" s="67">
        <f>'[1]特别隐藏版（勿动、勿看）'!H97</f>
        <v>0</v>
      </c>
      <c r="I97" s="67">
        <f>'[1]特别隐藏版（勿动、勿看）'!I97</f>
        <v>0</v>
      </c>
      <c r="J97" s="67">
        <f>'[1]特别隐藏版（勿动、勿看）'!J97</f>
        <v>0</v>
      </c>
      <c r="K97" s="67">
        <f>'[1]特别隐藏版（勿动、勿看）'!K97</f>
        <v>0</v>
      </c>
      <c r="L97" s="67">
        <f>'[1]特别隐藏版（勿动、勿看）'!L97</f>
        <v>0</v>
      </c>
      <c r="M97" s="67">
        <f>'[1]特别隐藏版（勿动、勿看）'!M97</f>
        <v>0</v>
      </c>
      <c r="N97" s="67">
        <f>'[1]特别隐藏版（勿动、勿看）'!N97</f>
        <v>0</v>
      </c>
      <c r="O97" s="67">
        <f>'[1]特别隐藏版（勿动、勿看）'!O97</f>
        <v>0</v>
      </c>
    </row>
    <row r="98" s="64" customFormat="1" spans="1:15">
      <c r="A98" s="70">
        <f>'[1]特别隐藏版（勿动、勿看）'!A98</f>
        <v>0</v>
      </c>
      <c r="B98" s="67" t="str">
        <f>'[1]特别隐藏版（勿动、勿看）'!B98</f>
        <v>GSV完成</v>
      </c>
      <c r="C98" s="67">
        <f>'[1]特别隐藏版（勿动、勿看）'!C98</f>
        <v>0</v>
      </c>
      <c r="D98" s="67">
        <f>'[1]特别隐藏版（勿动、勿看）'!D98</f>
        <v>0</v>
      </c>
      <c r="E98" s="67">
        <f>'[1]特别隐藏版（勿动、勿看）'!E98</f>
        <v>0</v>
      </c>
      <c r="F98" s="67">
        <f>'[1]特别隐藏版（勿动、勿看）'!F98</f>
        <v>0</v>
      </c>
      <c r="G98" s="67">
        <f>'[1]特别隐藏版（勿动、勿看）'!G98</f>
        <v>0</v>
      </c>
      <c r="H98" s="67">
        <f>'[1]特别隐藏版（勿动、勿看）'!H98</f>
        <v>0</v>
      </c>
      <c r="I98" s="67">
        <f>'[1]特别隐藏版（勿动、勿看）'!I98</f>
        <v>0</v>
      </c>
      <c r="J98" s="67">
        <f>'[1]特别隐藏版（勿动、勿看）'!J98</f>
        <v>0</v>
      </c>
      <c r="K98" s="67">
        <f>'[1]特别隐藏版（勿动、勿看）'!K98</f>
        <v>0</v>
      </c>
      <c r="L98" s="67">
        <f>'[1]特别隐藏版（勿动、勿看）'!L98</f>
        <v>0</v>
      </c>
      <c r="M98" s="67">
        <f>'[1]特别隐藏版（勿动、勿看）'!M98</f>
        <v>0</v>
      </c>
      <c r="N98" s="67">
        <f>'[1]特别隐藏版（勿动、勿看）'!N98</f>
        <v>0</v>
      </c>
      <c r="O98" s="67">
        <f>'[1]特别隐藏版（勿动、勿看）'!O98</f>
        <v>0</v>
      </c>
    </row>
    <row r="99" s="64" customFormat="1" spans="1:15">
      <c r="A99" s="70">
        <f>'[1]特别隐藏版（勿动、勿看）'!A99</f>
        <v>0</v>
      </c>
      <c r="B99" s="67" t="str">
        <f>'[1]特别隐藏版（勿动、勿看）'!B99</f>
        <v>退款率</v>
      </c>
      <c r="C99" s="5" t="e">
        <f>'[1]特别隐藏版（勿动、勿看）'!C99</f>
        <v>#DIV/0!</v>
      </c>
      <c r="D99" s="5" t="e">
        <f>'[1]特别隐藏版（勿动、勿看）'!D99</f>
        <v>#DIV/0!</v>
      </c>
      <c r="E99" s="5" t="e">
        <f>'[1]特别隐藏版（勿动、勿看）'!E99</f>
        <v>#DIV/0!</v>
      </c>
      <c r="F99" s="5" t="e">
        <f>'[1]特别隐藏版（勿动、勿看）'!F99</f>
        <v>#DIV/0!</v>
      </c>
      <c r="G99" s="5" t="e">
        <f>'[1]特别隐藏版（勿动、勿看）'!G99</f>
        <v>#DIV/0!</v>
      </c>
      <c r="H99" s="5" t="e">
        <f>'[1]特别隐藏版（勿动、勿看）'!H99</f>
        <v>#DIV/0!</v>
      </c>
      <c r="I99" s="5" t="e">
        <f>'[1]特别隐藏版（勿动、勿看）'!I99</f>
        <v>#DIV/0!</v>
      </c>
      <c r="J99" s="5" t="e">
        <f>'[1]特别隐藏版（勿动、勿看）'!J99</f>
        <v>#DIV/0!</v>
      </c>
      <c r="K99" s="5" t="e">
        <f>'[1]特别隐藏版（勿动、勿看）'!K99</f>
        <v>#DIV/0!</v>
      </c>
      <c r="L99" s="5" t="e">
        <f>'[1]特别隐藏版（勿动、勿看）'!L99</f>
        <v>#DIV/0!</v>
      </c>
      <c r="M99" s="5" t="e">
        <f>'[1]特别隐藏版（勿动、勿看）'!M99</f>
        <v>#DIV/0!</v>
      </c>
      <c r="N99" s="5" t="e">
        <f>'[1]特别隐藏版（勿动、勿看）'!N99</f>
        <v>#DIV/0!</v>
      </c>
      <c r="O99" s="5" t="e">
        <f>'[1]特别隐藏版（勿动、勿看）'!O99</f>
        <v>#DIV/0!</v>
      </c>
    </row>
    <row r="100" s="64" customFormat="1" spans="1:15">
      <c r="A100" s="70">
        <f>'[1]特别隐藏版（勿动、勿看）'!A100</f>
        <v>0</v>
      </c>
      <c r="B100" s="67" t="str">
        <f>'[1]特别隐藏版（勿动、勿看）'!B100</f>
        <v>退货率</v>
      </c>
      <c r="C100" s="5" t="e">
        <f>'[1]特别隐藏版（勿动、勿看）'!C100</f>
        <v>#DIV/0!</v>
      </c>
      <c r="D100" s="5" t="e">
        <f>'[1]特别隐藏版（勿动、勿看）'!D100</f>
        <v>#DIV/0!</v>
      </c>
      <c r="E100" s="5" t="e">
        <f>'[1]特别隐藏版（勿动、勿看）'!E100</f>
        <v>#DIV/0!</v>
      </c>
      <c r="F100" s="5" t="e">
        <f>'[1]特别隐藏版（勿动、勿看）'!F100</f>
        <v>#DIV/0!</v>
      </c>
      <c r="G100" s="5" t="e">
        <f>'[1]特别隐藏版（勿动、勿看）'!G100</f>
        <v>#DIV/0!</v>
      </c>
      <c r="H100" s="5" t="e">
        <f>'[1]特别隐藏版（勿动、勿看）'!H100</f>
        <v>#DIV/0!</v>
      </c>
      <c r="I100" s="5" t="e">
        <f>'[1]特别隐藏版（勿动、勿看）'!I100</f>
        <v>#DIV/0!</v>
      </c>
      <c r="J100" s="5" t="e">
        <f>'[1]特别隐藏版（勿动、勿看）'!J100</f>
        <v>#DIV/0!</v>
      </c>
      <c r="K100" s="5" t="e">
        <f>'[1]特别隐藏版（勿动、勿看）'!K100</f>
        <v>#DIV/0!</v>
      </c>
      <c r="L100" s="5" t="e">
        <f>'[1]特别隐藏版（勿动、勿看）'!L100</f>
        <v>#DIV/0!</v>
      </c>
      <c r="M100" s="5" t="e">
        <f>'[1]特别隐藏版（勿动、勿看）'!M100</f>
        <v>#DIV/0!</v>
      </c>
      <c r="N100" s="5" t="e">
        <f>'[1]特别隐藏版（勿动、勿看）'!N100</f>
        <v>#DIV/0!</v>
      </c>
      <c r="O100" s="5" t="e">
        <f>'[1]特别隐藏版（勿动、勿看）'!O100</f>
        <v>#DIV/0!</v>
      </c>
    </row>
    <row r="101" s="64" customFormat="1" spans="1:15">
      <c r="A101" s="76">
        <f>'[1]特别隐藏版（勿动、勿看）'!A101</f>
        <v>0</v>
      </c>
      <c r="B101" s="67" t="str">
        <f>'[1]特别隐藏版（勿动、勿看）'!B101</f>
        <v>利润率</v>
      </c>
      <c r="C101" s="5" t="e">
        <f>'[1]特别隐藏版（勿动、勿看）'!C101</f>
        <v>#DIV/0!</v>
      </c>
      <c r="D101" s="5" t="e">
        <f>'[1]特别隐藏版（勿动、勿看）'!D101</f>
        <v>#DIV/0!</v>
      </c>
      <c r="E101" s="5" t="e">
        <f>'[1]特别隐藏版（勿动、勿看）'!E101</f>
        <v>#DIV/0!</v>
      </c>
      <c r="F101" s="5" t="e">
        <f>'[1]特别隐藏版（勿动、勿看）'!F101</f>
        <v>#DIV/0!</v>
      </c>
      <c r="G101" s="5" t="e">
        <f>'[1]特别隐藏版（勿动、勿看）'!G101</f>
        <v>#DIV/0!</v>
      </c>
      <c r="H101" s="5" t="e">
        <f>'[1]特别隐藏版（勿动、勿看）'!H101</f>
        <v>#DIV/0!</v>
      </c>
      <c r="I101" s="5" t="e">
        <f>'[1]特别隐藏版（勿动、勿看）'!I101</f>
        <v>#DIV/0!</v>
      </c>
      <c r="J101" s="5" t="e">
        <f>'[1]特别隐藏版（勿动、勿看）'!J101</f>
        <v>#DIV/0!</v>
      </c>
      <c r="K101" s="5" t="e">
        <f>'[1]特别隐藏版（勿动、勿看）'!K101</f>
        <v>#DIV/0!</v>
      </c>
      <c r="L101" s="5" t="e">
        <f>'[1]特别隐藏版（勿动、勿看）'!L101</f>
        <v>#DIV/0!</v>
      </c>
      <c r="M101" s="5" t="e">
        <f>'[1]特别隐藏版（勿动、勿看）'!M101</f>
        <v>#DIV/0!</v>
      </c>
      <c r="N101" s="5" t="e">
        <f>'[1]特别隐藏版（勿动、勿看）'!N101</f>
        <v>#DIV/0!</v>
      </c>
      <c r="O101" s="5" t="e">
        <f>'[1]特别隐藏版（勿动、勿看）'!O101</f>
        <v>#DIV/0!</v>
      </c>
    </row>
    <row r="102" s="64" customFormat="1" spans="1:15">
      <c r="A102" s="69" t="str">
        <f>'[1]特别隐藏版（勿动、勿看）'!A102</f>
        <v>新店5</v>
      </c>
      <c r="B102" s="67" t="str">
        <f>'[1]特别隐藏版（勿动、勿看）'!B102</f>
        <v>实际利润（人民币）</v>
      </c>
      <c r="C102" s="67">
        <f>'[1]特别隐藏版（勿动、勿看）'!C102</f>
        <v>0</v>
      </c>
      <c r="D102" s="67">
        <f>'[1]特别隐藏版（勿动、勿看）'!D102</f>
        <v>0</v>
      </c>
      <c r="E102" s="67">
        <f>'[1]特别隐藏版（勿动、勿看）'!E102</f>
        <v>0</v>
      </c>
      <c r="F102" s="67">
        <f>'[1]特别隐藏版（勿动、勿看）'!F102</f>
        <v>0</v>
      </c>
      <c r="G102" s="67">
        <f>'[1]特别隐藏版（勿动、勿看）'!G102</f>
        <v>0</v>
      </c>
      <c r="H102" s="67">
        <f>'[1]特别隐藏版（勿动、勿看）'!H102</f>
        <v>0</v>
      </c>
      <c r="I102" s="67">
        <f>'[1]特别隐藏版（勿动、勿看）'!I102</f>
        <v>0</v>
      </c>
      <c r="J102" s="67">
        <f>'[1]特别隐藏版（勿动、勿看）'!J102</f>
        <v>0</v>
      </c>
      <c r="K102" s="67">
        <f>'[1]特别隐藏版（勿动、勿看）'!K102</f>
        <v>0</v>
      </c>
      <c r="L102" s="67">
        <f>'[1]特别隐藏版（勿动、勿看）'!L102</f>
        <v>0</v>
      </c>
      <c r="M102" s="67">
        <f>'[1]特别隐藏版（勿动、勿看）'!M102</f>
        <v>0</v>
      </c>
      <c r="N102" s="67">
        <f>'[1]特别隐藏版（勿动、勿看）'!N102</f>
        <v>0</v>
      </c>
      <c r="O102" s="67">
        <f>'[1]特别隐藏版（勿动、勿看）'!O102</f>
        <v>0</v>
      </c>
    </row>
    <row r="103" s="64" customFormat="1" spans="1:15">
      <c r="A103" s="70">
        <f>'[1]特别隐藏版（勿动、勿看）'!A103</f>
        <v>0</v>
      </c>
      <c r="B103" s="67" t="str">
        <f>'[1]特别隐藏版（勿动、勿看）'!B103</f>
        <v>销量完成</v>
      </c>
      <c r="C103" s="67">
        <f>'[1]特别隐藏版（勿动、勿看）'!C103</f>
        <v>0</v>
      </c>
      <c r="D103" s="67">
        <f>'[1]特别隐藏版（勿动、勿看）'!D103</f>
        <v>0</v>
      </c>
      <c r="E103" s="67">
        <f>'[1]特别隐藏版（勿动、勿看）'!E103</f>
        <v>0</v>
      </c>
      <c r="F103" s="67">
        <f>'[1]特别隐藏版（勿动、勿看）'!F103</f>
        <v>0</v>
      </c>
      <c r="G103" s="67">
        <f>'[1]特别隐藏版（勿动、勿看）'!G103</f>
        <v>0</v>
      </c>
      <c r="H103" s="67">
        <f>'[1]特别隐藏版（勿动、勿看）'!H103</f>
        <v>0</v>
      </c>
      <c r="I103" s="67">
        <f>'[1]特别隐藏版（勿动、勿看）'!I103</f>
        <v>0</v>
      </c>
      <c r="J103" s="67">
        <f>'[1]特别隐藏版（勿动、勿看）'!J103</f>
        <v>0</v>
      </c>
      <c r="K103" s="67">
        <f>'[1]特别隐藏版（勿动、勿看）'!K103</f>
        <v>0</v>
      </c>
      <c r="L103" s="67">
        <f>'[1]特别隐藏版（勿动、勿看）'!L103</f>
        <v>0</v>
      </c>
      <c r="M103" s="67">
        <f>'[1]特别隐藏版（勿动、勿看）'!M103</f>
        <v>0</v>
      </c>
      <c r="N103" s="67">
        <f>'[1]特别隐藏版（勿动、勿看）'!N103</f>
        <v>0</v>
      </c>
      <c r="O103" s="67">
        <f>'[1]特别隐藏版（勿动、勿看）'!O103</f>
        <v>0</v>
      </c>
    </row>
    <row r="104" s="64" customFormat="1" spans="1:15">
      <c r="A104" s="70">
        <f>'[1]特别隐藏版（勿动、勿看）'!A104</f>
        <v>0</v>
      </c>
      <c r="B104" s="67" t="str">
        <f>'[1]特别隐藏版（勿动、勿看）'!B104</f>
        <v>实销完成</v>
      </c>
      <c r="C104" s="67">
        <f>'[1]特别隐藏版（勿动、勿看）'!C104</f>
        <v>0</v>
      </c>
      <c r="D104" s="67">
        <f>'[1]特别隐藏版（勿动、勿看）'!D104</f>
        <v>0</v>
      </c>
      <c r="E104" s="67">
        <f>'[1]特别隐藏版（勿动、勿看）'!E104</f>
        <v>0</v>
      </c>
      <c r="F104" s="67">
        <f>'[1]特别隐藏版（勿动、勿看）'!F104</f>
        <v>0</v>
      </c>
      <c r="G104" s="67">
        <f>'[1]特别隐藏版（勿动、勿看）'!G104</f>
        <v>0</v>
      </c>
      <c r="H104" s="67">
        <f>'[1]特别隐藏版（勿动、勿看）'!H104</f>
        <v>0</v>
      </c>
      <c r="I104" s="67">
        <f>'[1]特别隐藏版（勿动、勿看）'!I104</f>
        <v>0</v>
      </c>
      <c r="J104" s="67">
        <f>'[1]特别隐藏版（勿动、勿看）'!J104</f>
        <v>0</v>
      </c>
      <c r="K104" s="67">
        <f>'[1]特别隐藏版（勿动、勿看）'!K104</f>
        <v>0</v>
      </c>
      <c r="L104" s="67">
        <f>'[1]特别隐藏版（勿动、勿看）'!L104</f>
        <v>0</v>
      </c>
      <c r="M104" s="67">
        <f>'[1]特别隐藏版（勿动、勿看）'!M104</f>
        <v>0</v>
      </c>
      <c r="N104" s="67">
        <f>'[1]特别隐藏版（勿动、勿看）'!N104</f>
        <v>0</v>
      </c>
      <c r="O104" s="67">
        <f>'[1]特别隐藏版（勿动、勿看）'!O104</f>
        <v>0</v>
      </c>
    </row>
    <row r="105" s="64" customFormat="1" spans="1:15">
      <c r="A105" s="70">
        <f>'[1]特别隐藏版（勿动、勿看）'!A105</f>
        <v>0</v>
      </c>
      <c r="B105" s="67" t="str">
        <f>'[1]特别隐藏版（勿动、勿看）'!B105</f>
        <v>GMV完成</v>
      </c>
      <c r="C105" s="67">
        <f>'[1]特别隐藏版（勿动、勿看）'!C105</f>
        <v>0</v>
      </c>
      <c r="D105" s="67">
        <f>'[1]特别隐藏版（勿动、勿看）'!D105</f>
        <v>0</v>
      </c>
      <c r="E105" s="67">
        <f>'[1]特别隐藏版（勿动、勿看）'!E105</f>
        <v>0</v>
      </c>
      <c r="F105" s="67">
        <f>'[1]特别隐藏版（勿动、勿看）'!F105</f>
        <v>0</v>
      </c>
      <c r="G105" s="67">
        <f>'[1]特别隐藏版（勿动、勿看）'!G105</f>
        <v>0</v>
      </c>
      <c r="H105" s="67">
        <f>'[1]特别隐藏版（勿动、勿看）'!H105</f>
        <v>0</v>
      </c>
      <c r="I105" s="67">
        <f>'[1]特别隐藏版（勿动、勿看）'!I105</f>
        <v>0</v>
      </c>
      <c r="J105" s="67">
        <f>'[1]特别隐藏版（勿动、勿看）'!J105</f>
        <v>0</v>
      </c>
      <c r="K105" s="67">
        <f>'[1]特别隐藏版（勿动、勿看）'!K105</f>
        <v>0</v>
      </c>
      <c r="L105" s="67">
        <f>'[1]特别隐藏版（勿动、勿看）'!L105</f>
        <v>0</v>
      </c>
      <c r="M105" s="67">
        <f>'[1]特别隐藏版（勿动、勿看）'!M105</f>
        <v>0</v>
      </c>
      <c r="N105" s="67">
        <f>'[1]特别隐藏版（勿动、勿看）'!N105</f>
        <v>0</v>
      </c>
      <c r="O105" s="67">
        <f>'[1]特别隐藏版（勿动、勿看）'!O105</f>
        <v>0</v>
      </c>
    </row>
    <row r="106" s="64" customFormat="1" spans="1:15">
      <c r="A106" s="70">
        <f>'[1]特别隐藏版（勿动、勿看）'!A106</f>
        <v>0</v>
      </c>
      <c r="B106" s="67" t="str">
        <f>'[1]特别隐藏版（勿动、勿看）'!B106</f>
        <v>GSV完成</v>
      </c>
      <c r="C106" s="67">
        <f>'[1]特别隐藏版（勿动、勿看）'!C106</f>
        <v>0</v>
      </c>
      <c r="D106" s="67">
        <f>'[1]特别隐藏版（勿动、勿看）'!D106</f>
        <v>0</v>
      </c>
      <c r="E106" s="67">
        <f>'[1]特别隐藏版（勿动、勿看）'!E106</f>
        <v>0</v>
      </c>
      <c r="F106" s="67">
        <f>'[1]特别隐藏版（勿动、勿看）'!F106</f>
        <v>0</v>
      </c>
      <c r="G106" s="67">
        <f>'[1]特别隐藏版（勿动、勿看）'!G106</f>
        <v>0</v>
      </c>
      <c r="H106" s="67">
        <f>'[1]特别隐藏版（勿动、勿看）'!H106</f>
        <v>0</v>
      </c>
      <c r="I106" s="67">
        <f>'[1]特别隐藏版（勿动、勿看）'!I106</f>
        <v>0</v>
      </c>
      <c r="J106" s="67">
        <f>'[1]特别隐藏版（勿动、勿看）'!J106</f>
        <v>0</v>
      </c>
      <c r="K106" s="67">
        <f>'[1]特别隐藏版（勿动、勿看）'!K106</f>
        <v>0</v>
      </c>
      <c r="L106" s="67">
        <f>'[1]特别隐藏版（勿动、勿看）'!L106</f>
        <v>0</v>
      </c>
      <c r="M106" s="67">
        <f>'[1]特别隐藏版（勿动、勿看）'!M106</f>
        <v>0</v>
      </c>
      <c r="N106" s="67">
        <f>'[1]特别隐藏版（勿动、勿看）'!N106</f>
        <v>0</v>
      </c>
      <c r="O106" s="67">
        <f>'[1]特别隐藏版（勿动、勿看）'!O106</f>
        <v>0</v>
      </c>
    </row>
    <row r="107" s="64" customFormat="1" spans="1:15">
      <c r="A107" s="70">
        <f>'[1]特别隐藏版（勿动、勿看）'!A107</f>
        <v>0</v>
      </c>
      <c r="B107" s="67" t="str">
        <f>'[1]特别隐藏版（勿动、勿看）'!B107</f>
        <v>退款率</v>
      </c>
      <c r="C107" s="5" t="e">
        <f>'[1]特别隐藏版（勿动、勿看）'!C107</f>
        <v>#DIV/0!</v>
      </c>
      <c r="D107" s="5" t="e">
        <f>'[1]特别隐藏版（勿动、勿看）'!D107</f>
        <v>#DIV/0!</v>
      </c>
      <c r="E107" s="5" t="e">
        <f>'[1]特别隐藏版（勿动、勿看）'!E107</f>
        <v>#DIV/0!</v>
      </c>
      <c r="F107" s="5" t="e">
        <f>'[1]特别隐藏版（勿动、勿看）'!F107</f>
        <v>#DIV/0!</v>
      </c>
      <c r="G107" s="5" t="e">
        <f>'[1]特别隐藏版（勿动、勿看）'!G107</f>
        <v>#DIV/0!</v>
      </c>
      <c r="H107" s="5" t="e">
        <f>'[1]特别隐藏版（勿动、勿看）'!H107</f>
        <v>#DIV/0!</v>
      </c>
      <c r="I107" s="5" t="e">
        <f>'[1]特别隐藏版（勿动、勿看）'!I107</f>
        <v>#DIV/0!</v>
      </c>
      <c r="J107" s="5" t="e">
        <f>'[1]特别隐藏版（勿动、勿看）'!J107</f>
        <v>#DIV/0!</v>
      </c>
      <c r="K107" s="5" t="e">
        <f>'[1]特别隐藏版（勿动、勿看）'!K107</f>
        <v>#DIV/0!</v>
      </c>
      <c r="L107" s="5" t="e">
        <f>'[1]特别隐藏版（勿动、勿看）'!L107</f>
        <v>#DIV/0!</v>
      </c>
      <c r="M107" s="5" t="e">
        <f>'[1]特别隐藏版（勿动、勿看）'!M107</f>
        <v>#DIV/0!</v>
      </c>
      <c r="N107" s="5" t="e">
        <f>'[1]特别隐藏版（勿动、勿看）'!N107</f>
        <v>#DIV/0!</v>
      </c>
      <c r="O107" s="5" t="e">
        <f>'[1]特别隐藏版（勿动、勿看）'!O107</f>
        <v>#DIV/0!</v>
      </c>
    </row>
    <row r="108" s="64" customFormat="1" spans="1:15">
      <c r="A108" s="70">
        <f>'[1]特别隐藏版（勿动、勿看）'!A108</f>
        <v>0</v>
      </c>
      <c r="B108" s="67" t="str">
        <f>'[1]特别隐藏版（勿动、勿看）'!B108</f>
        <v>退货率</v>
      </c>
      <c r="C108" s="5" t="e">
        <f>'[1]特别隐藏版（勿动、勿看）'!C108</f>
        <v>#DIV/0!</v>
      </c>
      <c r="D108" s="5" t="e">
        <f>'[1]特别隐藏版（勿动、勿看）'!D108</f>
        <v>#DIV/0!</v>
      </c>
      <c r="E108" s="5" t="e">
        <f>'[1]特别隐藏版（勿动、勿看）'!E108</f>
        <v>#DIV/0!</v>
      </c>
      <c r="F108" s="5" t="e">
        <f>'[1]特别隐藏版（勿动、勿看）'!F108</f>
        <v>#DIV/0!</v>
      </c>
      <c r="G108" s="5" t="e">
        <f>'[1]特别隐藏版（勿动、勿看）'!G108</f>
        <v>#DIV/0!</v>
      </c>
      <c r="H108" s="5" t="e">
        <f>'[1]特别隐藏版（勿动、勿看）'!H108</f>
        <v>#DIV/0!</v>
      </c>
      <c r="I108" s="5" t="e">
        <f>'[1]特别隐藏版（勿动、勿看）'!I108</f>
        <v>#DIV/0!</v>
      </c>
      <c r="J108" s="5" t="e">
        <f>'[1]特别隐藏版（勿动、勿看）'!J108</f>
        <v>#DIV/0!</v>
      </c>
      <c r="K108" s="5" t="e">
        <f>'[1]特别隐藏版（勿动、勿看）'!K108</f>
        <v>#DIV/0!</v>
      </c>
      <c r="L108" s="5" t="e">
        <f>'[1]特别隐藏版（勿动、勿看）'!L108</f>
        <v>#DIV/0!</v>
      </c>
      <c r="M108" s="5" t="e">
        <f>'[1]特别隐藏版（勿动、勿看）'!M108</f>
        <v>#DIV/0!</v>
      </c>
      <c r="N108" s="5" t="e">
        <f>'[1]特别隐藏版（勿动、勿看）'!N108</f>
        <v>#DIV/0!</v>
      </c>
      <c r="O108" s="5" t="e">
        <f>'[1]特别隐藏版（勿动、勿看）'!O108</f>
        <v>#DIV/0!</v>
      </c>
    </row>
    <row r="109" s="64" customFormat="1" spans="1:15">
      <c r="A109" s="76">
        <f>'[1]特别隐藏版（勿动、勿看）'!A109</f>
        <v>0</v>
      </c>
      <c r="B109" s="67" t="str">
        <f>'[1]特别隐藏版（勿动、勿看）'!B109</f>
        <v>利润率</v>
      </c>
      <c r="C109" s="5" t="e">
        <f>'[1]特别隐藏版（勿动、勿看）'!C109</f>
        <v>#DIV/0!</v>
      </c>
      <c r="D109" s="5" t="e">
        <f>'[1]特别隐藏版（勿动、勿看）'!D109</f>
        <v>#DIV/0!</v>
      </c>
      <c r="E109" s="5" t="e">
        <f>'[1]特别隐藏版（勿动、勿看）'!E109</f>
        <v>#DIV/0!</v>
      </c>
      <c r="F109" s="5" t="e">
        <f>'[1]特别隐藏版（勿动、勿看）'!F109</f>
        <v>#DIV/0!</v>
      </c>
      <c r="G109" s="5" t="e">
        <f>'[1]特别隐藏版（勿动、勿看）'!G109</f>
        <v>#DIV/0!</v>
      </c>
      <c r="H109" s="5" t="e">
        <f>'[1]特别隐藏版（勿动、勿看）'!H109</f>
        <v>#DIV/0!</v>
      </c>
      <c r="I109" s="5" t="e">
        <f>'[1]特别隐藏版（勿动、勿看）'!I109</f>
        <v>#DIV/0!</v>
      </c>
      <c r="J109" s="5" t="e">
        <f>'[1]特别隐藏版（勿动、勿看）'!J109</f>
        <v>#DIV/0!</v>
      </c>
      <c r="K109" s="5" t="e">
        <f>'[1]特别隐藏版（勿动、勿看）'!K109</f>
        <v>#DIV/0!</v>
      </c>
      <c r="L109" s="5" t="e">
        <f>'[1]特别隐藏版（勿动、勿看）'!L109</f>
        <v>#DIV/0!</v>
      </c>
      <c r="M109" s="5" t="e">
        <f>'[1]特别隐藏版（勿动、勿看）'!M109</f>
        <v>#DIV/0!</v>
      </c>
      <c r="N109" s="5" t="e">
        <f>'[1]特别隐藏版（勿动、勿看）'!N109</f>
        <v>#DIV/0!</v>
      </c>
      <c r="O109" s="5" t="e">
        <f>'[1]特别隐藏版（勿动、勿看）'!O109</f>
        <v>#DIV/0!</v>
      </c>
    </row>
    <row r="110" s="64" customFormat="1" spans="1:15">
      <c r="A110" s="69" t="str">
        <f>'[1]特别隐藏版（勿动、勿看）'!A110</f>
        <v>新店6</v>
      </c>
      <c r="B110" s="67" t="str">
        <f>'[1]特别隐藏版（勿动、勿看）'!B110</f>
        <v>实际利润（人民币）</v>
      </c>
      <c r="C110" s="67">
        <f>'[1]特别隐藏版（勿动、勿看）'!C110</f>
        <v>0</v>
      </c>
      <c r="D110" s="67">
        <f>'[1]特别隐藏版（勿动、勿看）'!D110</f>
        <v>0</v>
      </c>
      <c r="E110" s="67">
        <f>'[1]特别隐藏版（勿动、勿看）'!E110</f>
        <v>0</v>
      </c>
      <c r="F110" s="67">
        <f>'[1]特别隐藏版（勿动、勿看）'!F110</f>
        <v>0</v>
      </c>
      <c r="G110" s="67">
        <f>'[1]特别隐藏版（勿动、勿看）'!G110</f>
        <v>0</v>
      </c>
      <c r="H110" s="67">
        <f>'[1]特别隐藏版（勿动、勿看）'!H110</f>
        <v>0</v>
      </c>
      <c r="I110" s="67">
        <f>'[1]特别隐藏版（勿动、勿看）'!I110</f>
        <v>0</v>
      </c>
      <c r="J110" s="67">
        <f>'[1]特别隐藏版（勿动、勿看）'!J110</f>
        <v>0</v>
      </c>
      <c r="K110" s="67">
        <f>'[1]特别隐藏版（勿动、勿看）'!K110</f>
        <v>0</v>
      </c>
      <c r="L110" s="67">
        <f>'[1]特别隐藏版（勿动、勿看）'!L110</f>
        <v>0</v>
      </c>
      <c r="M110" s="67">
        <f>'[1]特别隐藏版（勿动、勿看）'!M110</f>
        <v>0</v>
      </c>
      <c r="N110" s="67">
        <f>'[1]特别隐藏版（勿动、勿看）'!N110</f>
        <v>0</v>
      </c>
      <c r="O110" s="67">
        <f>'[1]特别隐藏版（勿动、勿看）'!O110</f>
        <v>0</v>
      </c>
    </row>
    <row r="111" s="64" customFormat="1" spans="1:15">
      <c r="A111" s="70">
        <f>'[1]特别隐藏版（勿动、勿看）'!A111</f>
        <v>0</v>
      </c>
      <c r="B111" s="67" t="str">
        <f>'[1]特别隐藏版（勿动、勿看）'!B111</f>
        <v>销量完成</v>
      </c>
      <c r="C111" s="67">
        <f>'[1]特别隐藏版（勿动、勿看）'!C111</f>
        <v>0</v>
      </c>
      <c r="D111" s="67">
        <f>'[1]特别隐藏版（勿动、勿看）'!D111</f>
        <v>0</v>
      </c>
      <c r="E111" s="67">
        <f>'[1]特别隐藏版（勿动、勿看）'!E111</f>
        <v>0</v>
      </c>
      <c r="F111" s="67">
        <f>'[1]特别隐藏版（勿动、勿看）'!F111</f>
        <v>0</v>
      </c>
      <c r="G111" s="67">
        <f>'[1]特别隐藏版（勿动、勿看）'!G111</f>
        <v>0</v>
      </c>
      <c r="H111" s="67">
        <f>'[1]特别隐藏版（勿动、勿看）'!H111</f>
        <v>0</v>
      </c>
      <c r="I111" s="67">
        <f>'[1]特别隐藏版（勿动、勿看）'!I111</f>
        <v>0</v>
      </c>
      <c r="J111" s="67">
        <f>'[1]特别隐藏版（勿动、勿看）'!J111</f>
        <v>0</v>
      </c>
      <c r="K111" s="67">
        <f>'[1]特别隐藏版（勿动、勿看）'!K111</f>
        <v>0</v>
      </c>
      <c r="L111" s="67">
        <f>'[1]特别隐藏版（勿动、勿看）'!L111</f>
        <v>0</v>
      </c>
      <c r="M111" s="67">
        <f>'[1]特别隐藏版（勿动、勿看）'!M111</f>
        <v>0</v>
      </c>
      <c r="N111" s="67">
        <f>'[1]特别隐藏版（勿动、勿看）'!N111</f>
        <v>0</v>
      </c>
      <c r="O111" s="67">
        <f>'[1]特别隐藏版（勿动、勿看）'!O111</f>
        <v>0</v>
      </c>
    </row>
    <row r="112" s="64" customFormat="1" spans="1:15">
      <c r="A112" s="70">
        <f>'[1]特别隐藏版（勿动、勿看）'!A112</f>
        <v>0</v>
      </c>
      <c r="B112" s="67" t="str">
        <f>'[1]特别隐藏版（勿动、勿看）'!B112</f>
        <v>实销完成</v>
      </c>
      <c r="C112" s="67">
        <f>'[1]特别隐藏版（勿动、勿看）'!C112</f>
        <v>0</v>
      </c>
      <c r="D112" s="67">
        <f>'[1]特别隐藏版（勿动、勿看）'!D112</f>
        <v>0</v>
      </c>
      <c r="E112" s="67">
        <f>'[1]特别隐藏版（勿动、勿看）'!E112</f>
        <v>0</v>
      </c>
      <c r="F112" s="67">
        <f>'[1]特别隐藏版（勿动、勿看）'!F112</f>
        <v>0</v>
      </c>
      <c r="G112" s="67">
        <f>'[1]特别隐藏版（勿动、勿看）'!G112</f>
        <v>0</v>
      </c>
      <c r="H112" s="67">
        <f>'[1]特别隐藏版（勿动、勿看）'!H112</f>
        <v>0</v>
      </c>
      <c r="I112" s="67">
        <f>'[1]特别隐藏版（勿动、勿看）'!I112</f>
        <v>0</v>
      </c>
      <c r="J112" s="67">
        <f>'[1]特别隐藏版（勿动、勿看）'!J112</f>
        <v>0</v>
      </c>
      <c r="K112" s="67">
        <f>'[1]特别隐藏版（勿动、勿看）'!K112</f>
        <v>0</v>
      </c>
      <c r="L112" s="67">
        <f>'[1]特别隐藏版（勿动、勿看）'!L112</f>
        <v>0</v>
      </c>
      <c r="M112" s="67">
        <f>'[1]特别隐藏版（勿动、勿看）'!M112</f>
        <v>0</v>
      </c>
      <c r="N112" s="67">
        <f>'[1]特别隐藏版（勿动、勿看）'!N112</f>
        <v>0</v>
      </c>
      <c r="O112" s="67">
        <f>'[1]特别隐藏版（勿动、勿看）'!O112</f>
        <v>0</v>
      </c>
    </row>
    <row r="113" s="64" customFormat="1" spans="1:15">
      <c r="A113" s="70">
        <f>'[1]特别隐藏版（勿动、勿看）'!A113</f>
        <v>0</v>
      </c>
      <c r="B113" s="67" t="str">
        <f>'[1]特别隐藏版（勿动、勿看）'!B113</f>
        <v>GMV完成</v>
      </c>
      <c r="C113" s="67">
        <f>'[1]特别隐藏版（勿动、勿看）'!C113</f>
        <v>0</v>
      </c>
      <c r="D113" s="67">
        <f>'[1]特别隐藏版（勿动、勿看）'!D113</f>
        <v>0</v>
      </c>
      <c r="E113" s="67">
        <f>'[1]特别隐藏版（勿动、勿看）'!E113</f>
        <v>0</v>
      </c>
      <c r="F113" s="67">
        <f>'[1]特别隐藏版（勿动、勿看）'!F113</f>
        <v>0</v>
      </c>
      <c r="G113" s="67">
        <f>'[1]特别隐藏版（勿动、勿看）'!G113</f>
        <v>0</v>
      </c>
      <c r="H113" s="67">
        <f>'[1]特别隐藏版（勿动、勿看）'!H113</f>
        <v>0</v>
      </c>
      <c r="I113" s="67">
        <f>'[1]特别隐藏版（勿动、勿看）'!I113</f>
        <v>0</v>
      </c>
      <c r="J113" s="67">
        <f>'[1]特别隐藏版（勿动、勿看）'!J113</f>
        <v>0</v>
      </c>
      <c r="K113" s="67">
        <f>'[1]特别隐藏版（勿动、勿看）'!K113</f>
        <v>0</v>
      </c>
      <c r="L113" s="67">
        <f>'[1]特别隐藏版（勿动、勿看）'!L113</f>
        <v>0</v>
      </c>
      <c r="M113" s="67">
        <f>'[1]特别隐藏版（勿动、勿看）'!M113</f>
        <v>0</v>
      </c>
      <c r="N113" s="67">
        <f>'[1]特别隐藏版（勿动、勿看）'!N113</f>
        <v>0</v>
      </c>
      <c r="O113" s="67">
        <f>'[1]特别隐藏版（勿动、勿看）'!O113</f>
        <v>0</v>
      </c>
    </row>
    <row r="114" s="64" customFormat="1" spans="1:15">
      <c r="A114" s="70">
        <f>'[1]特别隐藏版（勿动、勿看）'!A114</f>
        <v>0</v>
      </c>
      <c r="B114" s="67" t="str">
        <f>'[1]特别隐藏版（勿动、勿看）'!B114</f>
        <v>GSV完成</v>
      </c>
      <c r="C114" s="67">
        <f>'[1]特别隐藏版（勿动、勿看）'!C114</f>
        <v>0</v>
      </c>
      <c r="D114" s="67">
        <f>'[1]特别隐藏版（勿动、勿看）'!D114</f>
        <v>0</v>
      </c>
      <c r="E114" s="67">
        <f>'[1]特别隐藏版（勿动、勿看）'!E114</f>
        <v>0</v>
      </c>
      <c r="F114" s="67">
        <f>'[1]特别隐藏版（勿动、勿看）'!F114</f>
        <v>0</v>
      </c>
      <c r="G114" s="67">
        <f>'[1]特别隐藏版（勿动、勿看）'!G114</f>
        <v>0</v>
      </c>
      <c r="H114" s="67">
        <f>'[1]特别隐藏版（勿动、勿看）'!H114</f>
        <v>0</v>
      </c>
      <c r="I114" s="67">
        <f>'[1]特别隐藏版（勿动、勿看）'!I114</f>
        <v>0</v>
      </c>
      <c r="J114" s="67">
        <f>'[1]特别隐藏版（勿动、勿看）'!J114</f>
        <v>0</v>
      </c>
      <c r="K114" s="67">
        <f>'[1]特别隐藏版（勿动、勿看）'!K114</f>
        <v>0</v>
      </c>
      <c r="L114" s="67">
        <f>'[1]特别隐藏版（勿动、勿看）'!L114</f>
        <v>0</v>
      </c>
      <c r="M114" s="67">
        <f>'[1]特别隐藏版（勿动、勿看）'!M114</f>
        <v>0</v>
      </c>
      <c r="N114" s="67">
        <f>'[1]特别隐藏版（勿动、勿看）'!N114</f>
        <v>0</v>
      </c>
      <c r="O114" s="67">
        <f>'[1]特别隐藏版（勿动、勿看）'!O114</f>
        <v>0</v>
      </c>
    </row>
    <row r="115" s="64" customFormat="1" spans="1:15">
      <c r="A115" s="70">
        <f>'[1]特别隐藏版（勿动、勿看）'!A115</f>
        <v>0</v>
      </c>
      <c r="B115" s="67" t="str">
        <f>'[1]特别隐藏版（勿动、勿看）'!B115</f>
        <v>退款率</v>
      </c>
      <c r="C115" s="5" t="e">
        <f>'[1]特别隐藏版（勿动、勿看）'!C115</f>
        <v>#DIV/0!</v>
      </c>
      <c r="D115" s="5" t="e">
        <f>'[1]特别隐藏版（勿动、勿看）'!D115</f>
        <v>#DIV/0!</v>
      </c>
      <c r="E115" s="5" t="e">
        <f>'[1]特别隐藏版（勿动、勿看）'!E115</f>
        <v>#DIV/0!</v>
      </c>
      <c r="F115" s="5" t="e">
        <f>'[1]特别隐藏版（勿动、勿看）'!F115</f>
        <v>#DIV/0!</v>
      </c>
      <c r="G115" s="5" t="e">
        <f>'[1]特别隐藏版（勿动、勿看）'!G115</f>
        <v>#DIV/0!</v>
      </c>
      <c r="H115" s="5" t="e">
        <f>'[1]特别隐藏版（勿动、勿看）'!H115</f>
        <v>#DIV/0!</v>
      </c>
      <c r="I115" s="5" t="e">
        <f>'[1]特别隐藏版（勿动、勿看）'!I115</f>
        <v>#DIV/0!</v>
      </c>
      <c r="J115" s="5" t="e">
        <f>'[1]特别隐藏版（勿动、勿看）'!J115</f>
        <v>#DIV/0!</v>
      </c>
      <c r="K115" s="5" t="e">
        <f>'[1]特别隐藏版（勿动、勿看）'!K115</f>
        <v>#DIV/0!</v>
      </c>
      <c r="L115" s="5" t="e">
        <f>'[1]特别隐藏版（勿动、勿看）'!L115</f>
        <v>#DIV/0!</v>
      </c>
      <c r="M115" s="5" t="e">
        <f>'[1]特别隐藏版（勿动、勿看）'!M115</f>
        <v>#DIV/0!</v>
      </c>
      <c r="N115" s="5" t="e">
        <f>'[1]特别隐藏版（勿动、勿看）'!N115</f>
        <v>#DIV/0!</v>
      </c>
      <c r="O115" s="5" t="e">
        <f>'[1]特别隐藏版（勿动、勿看）'!O115</f>
        <v>#DIV/0!</v>
      </c>
    </row>
    <row r="116" s="64" customFormat="1" spans="1:15">
      <c r="A116" s="70">
        <f>'[1]特别隐藏版（勿动、勿看）'!A116</f>
        <v>0</v>
      </c>
      <c r="B116" s="67" t="str">
        <f>'[1]特别隐藏版（勿动、勿看）'!B116</f>
        <v>退货率</v>
      </c>
      <c r="C116" s="5" t="e">
        <f>'[1]特别隐藏版（勿动、勿看）'!C116</f>
        <v>#DIV/0!</v>
      </c>
      <c r="D116" s="5" t="e">
        <f>'[1]特别隐藏版（勿动、勿看）'!D116</f>
        <v>#DIV/0!</v>
      </c>
      <c r="E116" s="5" t="e">
        <f>'[1]特别隐藏版（勿动、勿看）'!E116</f>
        <v>#DIV/0!</v>
      </c>
      <c r="F116" s="5" t="e">
        <f>'[1]特别隐藏版（勿动、勿看）'!F116</f>
        <v>#DIV/0!</v>
      </c>
      <c r="G116" s="5" t="e">
        <f>'[1]特别隐藏版（勿动、勿看）'!G116</f>
        <v>#DIV/0!</v>
      </c>
      <c r="H116" s="5" t="e">
        <f>'[1]特别隐藏版（勿动、勿看）'!H116</f>
        <v>#DIV/0!</v>
      </c>
      <c r="I116" s="5" t="e">
        <f>'[1]特别隐藏版（勿动、勿看）'!I116</f>
        <v>#DIV/0!</v>
      </c>
      <c r="J116" s="5" t="e">
        <f>'[1]特别隐藏版（勿动、勿看）'!J116</f>
        <v>#DIV/0!</v>
      </c>
      <c r="K116" s="5" t="e">
        <f>'[1]特别隐藏版（勿动、勿看）'!K116</f>
        <v>#DIV/0!</v>
      </c>
      <c r="L116" s="5" t="e">
        <f>'[1]特别隐藏版（勿动、勿看）'!L116</f>
        <v>#DIV/0!</v>
      </c>
      <c r="M116" s="5" t="e">
        <f>'[1]特别隐藏版（勿动、勿看）'!M116</f>
        <v>#DIV/0!</v>
      </c>
      <c r="N116" s="5" t="e">
        <f>'[1]特别隐藏版（勿动、勿看）'!N116</f>
        <v>#DIV/0!</v>
      </c>
      <c r="O116" s="5" t="e">
        <f>'[1]特别隐藏版（勿动、勿看）'!O116</f>
        <v>#DIV/0!</v>
      </c>
    </row>
    <row r="117" s="64" customFormat="1" spans="1:15">
      <c r="A117" s="76">
        <f>'[1]特别隐藏版（勿动、勿看）'!A117</f>
        <v>0</v>
      </c>
      <c r="B117" s="67" t="str">
        <f>'[1]特别隐藏版（勿动、勿看）'!B117</f>
        <v>利润率</v>
      </c>
      <c r="C117" s="5" t="e">
        <f>'[1]特别隐藏版（勿动、勿看）'!C117</f>
        <v>#DIV/0!</v>
      </c>
      <c r="D117" s="5" t="e">
        <f>'[1]特别隐藏版（勿动、勿看）'!D117</f>
        <v>#DIV/0!</v>
      </c>
      <c r="E117" s="5" t="e">
        <f>'[1]特别隐藏版（勿动、勿看）'!E117</f>
        <v>#DIV/0!</v>
      </c>
      <c r="F117" s="5" t="e">
        <f>'[1]特别隐藏版（勿动、勿看）'!F117</f>
        <v>#DIV/0!</v>
      </c>
      <c r="G117" s="5" t="e">
        <f>'[1]特别隐藏版（勿动、勿看）'!G117</f>
        <v>#DIV/0!</v>
      </c>
      <c r="H117" s="5" t="e">
        <f>'[1]特别隐藏版（勿动、勿看）'!H117</f>
        <v>#DIV/0!</v>
      </c>
      <c r="I117" s="5" t="e">
        <f>'[1]特别隐藏版（勿动、勿看）'!I117</f>
        <v>#DIV/0!</v>
      </c>
      <c r="J117" s="5" t="e">
        <f>'[1]特别隐藏版（勿动、勿看）'!J117</f>
        <v>#DIV/0!</v>
      </c>
      <c r="K117" s="5" t="e">
        <f>'[1]特别隐藏版（勿动、勿看）'!K117</f>
        <v>#DIV/0!</v>
      </c>
      <c r="L117" s="5" t="e">
        <f>'[1]特别隐藏版（勿动、勿看）'!L117</f>
        <v>#DIV/0!</v>
      </c>
      <c r="M117" s="5" t="e">
        <f>'[1]特别隐藏版（勿动、勿看）'!M117</f>
        <v>#DIV/0!</v>
      </c>
      <c r="N117" s="5" t="e">
        <f>'[1]特别隐藏版（勿动、勿看）'!N117</f>
        <v>#DIV/0!</v>
      </c>
      <c r="O117" s="5" t="e">
        <f>'[1]特别隐藏版（勿动、勿看）'!O117</f>
        <v>#DIV/0!</v>
      </c>
    </row>
    <row r="118" s="64" customFormat="1" spans="1:15">
      <c r="A118" s="69" t="str">
        <f>'[1]特别隐藏版（勿动、勿看）'!A118</f>
        <v>新店7</v>
      </c>
      <c r="B118" s="67" t="str">
        <f>'[1]特别隐藏版（勿动、勿看）'!B118</f>
        <v>实际利润（人民币）</v>
      </c>
      <c r="C118" s="67">
        <f>'[1]特别隐藏版（勿动、勿看）'!C118</f>
        <v>0</v>
      </c>
      <c r="D118" s="67">
        <f>'[1]特别隐藏版（勿动、勿看）'!D118</f>
        <v>0</v>
      </c>
      <c r="E118" s="67">
        <f>'[1]特别隐藏版（勿动、勿看）'!E118</f>
        <v>0</v>
      </c>
      <c r="F118" s="67">
        <f>'[1]特别隐藏版（勿动、勿看）'!F118</f>
        <v>0</v>
      </c>
      <c r="G118" s="67">
        <f>'[1]特别隐藏版（勿动、勿看）'!G118</f>
        <v>0</v>
      </c>
      <c r="H118" s="67">
        <f>'[1]特别隐藏版（勿动、勿看）'!H118</f>
        <v>0</v>
      </c>
      <c r="I118" s="67">
        <f>'[1]特别隐藏版（勿动、勿看）'!I118</f>
        <v>0</v>
      </c>
      <c r="J118" s="67">
        <f>'[1]特别隐藏版（勿动、勿看）'!J118</f>
        <v>0</v>
      </c>
      <c r="K118" s="67">
        <f>'[1]特别隐藏版（勿动、勿看）'!K118</f>
        <v>0</v>
      </c>
      <c r="L118" s="67">
        <f>'[1]特别隐藏版（勿动、勿看）'!L118</f>
        <v>0</v>
      </c>
      <c r="M118" s="67">
        <f>'[1]特别隐藏版（勿动、勿看）'!M118</f>
        <v>0</v>
      </c>
      <c r="N118" s="67">
        <f>'[1]特别隐藏版（勿动、勿看）'!N118</f>
        <v>0</v>
      </c>
      <c r="O118" s="67">
        <f>'[1]特别隐藏版（勿动、勿看）'!O118</f>
        <v>0</v>
      </c>
    </row>
    <row r="119" s="64" customFormat="1" spans="1:15">
      <c r="A119" s="70">
        <f>'[1]特别隐藏版（勿动、勿看）'!A119</f>
        <v>0</v>
      </c>
      <c r="B119" s="67" t="str">
        <f>'[1]特别隐藏版（勿动、勿看）'!B119</f>
        <v>销量完成</v>
      </c>
      <c r="C119" s="67">
        <f>'[1]特别隐藏版（勿动、勿看）'!C119</f>
        <v>0</v>
      </c>
      <c r="D119" s="67">
        <f>'[1]特别隐藏版（勿动、勿看）'!D119</f>
        <v>0</v>
      </c>
      <c r="E119" s="67">
        <f>'[1]特别隐藏版（勿动、勿看）'!E119</f>
        <v>0</v>
      </c>
      <c r="F119" s="67">
        <f>'[1]特别隐藏版（勿动、勿看）'!F119</f>
        <v>0</v>
      </c>
      <c r="G119" s="67">
        <f>'[1]特别隐藏版（勿动、勿看）'!G119</f>
        <v>0</v>
      </c>
      <c r="H119" s="67">
        <f>'[1]特别隐藏版（勿动、勿看）'!H119</f>
        <v>0</v>
      </c>
      <c r="I119" s="67">
        <f>'[1]特别隐藏版（勿动、勿看）'!I119</f>
        <v>0</v>
      </c>
      <c r="J119" s="67">
        <f>'[1]特别隐藏版（勿动、勿看）'!J119</f>
        <v>0</v>
      </c>
      <c r="K119" s="67">
        <f>'[1]特别隐藏版（勿动、勿看）'!K119</f>
        <v>0</v>
      </c>
      <c r="L119" s="67">
        <f>'[1]特别隐藏版（勿动、勿看）'!L119</f>
        <v>0</v>
      </c>
      <c r="M119" s="67">
        <f>'[1]特别隐藏版（勿动、勿看）'!M119</f>
        <v>0</v>
      </c>
      <c r="N119" s="67">
        <f>'[1]特别隐藏版（勿动、勿看）'!N119</f>
        <v>0</v>
      </c>
      <c r="O119" s="67">
        <f>'[1]特别隐藏版（勿动、勿看）'!O119</f>
        <v>0</v>
      </c>
    </row>
    <row r="120" s="64" customFormat="1" spans="1:15">
      <c r="A120" s="70">
        <f>'[1]特别隐藏版（勿动、勿看）'!A120</f>
        <v>0</v>
      </c>
      <c r="B120" s="67" t="str">
        <f>'[1]特别隐藏版（勿动、勿看）'!B120</f>
        <v>实销完成</v>
      </c>
      <c r="C120" s="67">
        <f>'[1]特别隐藏版（勿动、勿看）'!C120</f>
        <v>0</v>
      </c>
      <c r="D120" s="67">
        <f>'[1]特别隐藏版（勿动、勿看）'!D120</f>
        <v>0</v>
      </c>
      <c r="E120" s="67">
        <f>'[1]特别隐藏版（勿动、勿看）'!E120</f>
        <v>0</v>
      </c>
      <c r="F120" s="67">
        <f>'[1]特别隐藏版（勿动、勿看）'!F120</f>
        <v>0</v>
      </c>
      <c r="G120" s="67">
        <f>'[1]特别隐藏版（勿动、勿看）'!G120</f>
        <v>0</v>
      </c>
      <c r="H120" s="67">
        <f>'[1]特别隐藏版（勿动、勿看）'!H120</f>
        <v>0</v>
      </c>
      <c r="I120" s="67">
        <f>'[1]特别隐藏版（勿动、勿看）'!I120</f>
        <v>0</v>
      </c>
      <c r="J120" s="67">
        <f>'[1]特别隐藏版（勿动、勿看）'!J120</f>
        <v>0</v>
      </c>
      <c r="K120" s="67">
        <f>'[1]特别隐藏版（勿动、勿看）'!K120</f>
        <v>0</v>
      </c>
      <c r="L120" s="67">
        <f>'[1]特别隐藏版（勿动、勿看）'!L120</f>
        <v>0</v>
      </c>
      <c r="M120" s="67">
        <f>'[1]特别隐藏版（勿动、勿看）'!M120</f>
        <v>0</v>
      </c>
      <c r="N120" s="67">
        <f>'[1]特别隐藏版（勿动、勿看）'!N120</f>
        <v>0</v>
      </c>
      <c r="O120" s="67">
        <f>'[1]特别隐藏版（勿动、勿看）'!O120</f>
        <v>0</v>
      </c>
    </row>
    <row r="121" s="64" customFormat="1" spans="1:15">
      <c r="A121" s="70">
        <f>'[1]特别隐藏版（勿动、勿看）'!A121</f>
        <v>0</v>
      </c>
      <c r="B121" s="67" t="str">
        <f>'[1]特别隐藏版（勿动、勿看）'!B121</f>
        <v>GMV完成</v>
      </c>
      <c r="C121" s="67">
        <f>'[1]特别隐藏版（勿动、勿看）'!C121</f>
        <v>0</v>
      </c>
      <c r="D121" s="67">
        <f>'[1]特别隐藏版（勿动、勿看）'!D121</f>
        <v>0</v>
      </c>
      <c r="E121" s="67">
        <f>'[1]特别隐藏版（勿动、勿看）'!E121</f>
        <v>0</v>
      </c>
      <c r="F121" s="67">
        <f>'[1]特别隐藏版（勿动、勿看）'!F121</f>
        <v>0</v>
      </c>
      <c r="G121" s="67">
        <f>'[1]特别隐藏版（勿动、勿看）'!G121</f>
        <v>0</v>
      </c>
      <c r="H121" s="67">
        <f>'[1]特别隐藏版（勿动、勿看）'!H121</f>
        <v>0</v>
      </c>
      <c r="I121" s="67">
        <f>'[1]特别隐藏版（勿动、勿看）'!I121</f>
        <v>0</v>
      </c>
      <c r="J121" s="67">
        <f>'[1]特别隐藏版（勿动、勿看）'!J121</f>
        <v>0</v>
      </c>
      <c r="K121" s="67">
        <f>'[1]特别隐藏版（勿动、勿看）'!K121</f>
        <v>0</v>
      </c>
      <c r="L121" s="67">
        <f>'[1]特别隐藏版（勿动、勿看）'!L121</f>
        <v>0</v>
      </c>
      <c r="M121" s="67">
        <f>'[1]特别隐藏版（勿动、勿看）'!M121</f>
        <v>0</v>
      </c>
      <c r="N121" s="67">
        <f>'[1]特别隐藏版（勿动、勿看）'!N121</f>
        <v>0</v>
      </c>
      <c r="O121" s="67">
        <f>'[1]特别隐藏版（勿动、勿看）'!O121</f>
        <v>0</v>
      </c>
    </row>
    <row r="122" s="64" customFormat="1" spans="1:15">
      <c r="A122" s="70">
        <f>'[1]特别隐藏版（勿动、勿看）'!A122</f>
        <v>0</v>
      </c>
      <c r="B122" s="67" t="str">
        <f>'[1]特别隐藏版（勿动、勿看）'!B122</f>
        <v>GSV完成</v>
      </c>
      <c r="C122" s="67">
        <f>'[1]特别隐藏版（勿动、勿看）'!C122</f>
        <v>0</v>
      </c>
      <c r="D122" s="67">
        <f>'[1]特别隐藏版（勿动、勿看）'!D122</f>
        <v>0</v>
      </c>
      <c r="E122" s="67">
        <f>'[1]特别隐藏版（勿动、勿看）'!E122</f>
        <v>0</v>
      </c>
      <c r="F122" s="67">
        <f>'[1]特别隐藏版（勿动、勿看）'!F122</f>
        <v>0</v>
      </c>
      <c r="G122" s="67">
        <f>'[1]特别隐藏版（勿动、勿看）'!G122</f>
        <v>0</v>
      </c>
      <c r="H122" s="67">
        <f>'[1]特别隐藏版（勿动、勿看）'!H122</f>
        <v>0</v>
      </c>
      <c r="I122" s="67">
        <f>'[1]特别隐藏版（勿动、勿看）'!I122</f>
        <v>0</v>
      </c>
      <c r="J122" s="67">
        <f>'[1]特别隐藏版（勿动、勿看）'!J122</f>
        <v>0</v>
      </c>
      <c r="K122" s="67">
        <f>'[1]特别隐藏版（勿动、勿看）'!K122</f>
        <v>0</v>
      </c>
      <c r="L122" s="67">
        <f>'[1]特别隐藏版（勿动、勿看）'!L122</f>
        <v>0</v>
      </c>
      <c r="M122" s="67">
        <f>'[1]特别隐藏版（勿动、勿看）'!M122</f>
        <v>0</v>
      </c>
      <c r="N122" s="67">
        <f>'[1]特别隐藏版（勿动、勿看）'!N122</f>
        <v>0</v>
      </c>
      <c r="O122" s="67">
        <f>'[1]特别隐藏版（勿动、勿看）'!O122</f>
        <v>0</v>
      </c>
    </row>
    <row r="123" s="64" customFormat="1" spans="1:15">
      <c r="A123" s="70">
        <f>'[1]特别隐藏版（勿动、勿看）'!A123</f>
        <v>0</v>
      </c>
      <c r="B123" s="67" t="str">
        <f>'[1]特别隐藏版（勿动、勿看）'!B123</f>
        <v>退款率</v>
      </c>
      <c r="C123" s="5" t="e">
        <f>'[1]特别隐藏版（勿动、勿看）'!C123</f>
        <v>#DIV/0!</v>
      </c>
      <c r="D123" s="5" t="e">
        <f>'[1]特别隐藏版（勿动、勿看）'!D123</f>
        <v>#DIV/0!</v>
      </c>
      <c r="E123" s="5" t="e">
        <f>'[1]特别隐藏版（勿动、勿看）'!E123</f>
        <v>#DIV/0!</v>
      </c>
      <c r="F123" s="5" t="e">
        <f>'[1]特别隐藏版（勿动、勿看）'!F123</f>
        <v>#DIV/0!</v>
      </c>
      <c r="G123" s="5" t="e">
        <f>'[1]特别隐藏版（勿动、勿看）'!G123</f>
        <v>#DIV/0!</v>
      </c>
      <c r="H123" s="5" t="e">
        <f>'[1]特别隐藏版（勿动、勿看）'!H123</f>
        <v>#DIV/0!</v>
      </c>
      <c r="I123" s="5" t="e">
        <f>'[1]特别隐藏版（勿动、勿看）'!I123</f>
        <v>#DIV/0!</v>
      </c>
      <c r="J123" s="5" t="e">
        <f>'[1]特别隐藏版（勿动、勿看）'!J123</f>
        <v>#DIV/0!</v>
      </c>
      <c r="K123" s="5" t="e">
        <f>'[1]特别隐藏版（勿动、勿看）'!K123</f>
        <v>#DIV/0!</v>
      </c>
      <c r="L123" s="5" t="e">
        <f>'[1]特别隐藏版（勿动、勿看）'!L123</f>
        <v>#DIV/0!</v>
      </c>
      <c r="M123" s="5" t="e">
        <f>'[1]特别隐藏版（勿动、勿看）'!M123</f>
        <v>#DIV/0!</v>
      </c>
      <c r="N123" s="5" t="e">
        <f>'[1]特别隐藏版（勿动、勿看）'!N123</f>
        <v>#DIV/0!</v>
      </c>
      <c r="O123" s="5" t="e">
        <f>'[1]特别隐藏版（勿动、勿看）'!O123</f>
        <v>#DIV/0!</v>
      </c>
    </row>
    <row r="124" s="64" customFormat="1" spans="1:15">
      <c r="A124" s="70">
        <f>'[1]特别隐藏版（勿动、勿看）'!A124</f>
        <v>0</v>
      </c>
      <c r="B124" s="67" t="str">
        <f>'[1]特别隐藏版（勿动、勿看）'!B124</f>
        <v>退货率</v>
      </c>
      <c r="C124" s="5" t="e">
        <f>'[1]特别隐藏版（勿动、勿看）'!C124</f>
        <v>#DIV/0!</v>
      </c>
      <c r="D124" s="5" t="e">
        <f>'[1]特别隐藏版（勿动、勿看）'!D124</f>
        <v>#DIV/0!</v>
      </c>
      <c r="E124" s="5" t="e">
        <f>'[1]特别隐藏版（勿动、勿看）'!E124</f>
        <v>#DIV/0!</v>
      </c>
      <c r="F124" s="5" t="e">
        <f>'[1]特别隐藏版（勿动、勿看）'!F124</f>
        <v>#DIV/0!</v>
      </c>
      <c r="G124" s="5" t="e">
        <f>'[1]特别隐藏版（勿动、勿看）'!G124</f>
        <v>#DIV/0!</v>
      </c>
      <c r="H124" s="5" t="e">
        <f>'[1]特别隐藏版（勿动、勿看）'!H124</f>
        <v>#DIV/0!</v>
      </c>
      <c r="I124" s="5" t="e">
        <f>'[1]特别隐藏版（勿动、勿看）'!I124</f>
        <v>#DIV/0!</v>
      </c>
      <c r="J124" s="5" t="e">
        <f>'[1]特别隐藏版（勿动、勿看）'!J124</f>
        <v>#DIV/0!</v>
      </c>
      <c r="K124" s="5" t="e">
        <f>'[1]特别隐藏版（勿动、勿看）'!K124</f>
        <v>#DIV/0!</v>
      </c>
      <c r="L124" s="5" t="e">
        <f>'[1]特别隐藏版（勿动、勿看）'!L124</f>
        <v>#DIV/0!</v>
      </c>
      <c r="M124" s="5" t="e">
        <f>'[1]特别隐藏版（勿动、勿看）'!M124</f>
        <v>#DIV/0!</v>
      </c>
      <c r="N124" s="5" t="e">
        <f>'[1]特别隐藏版（勿动、勿看）'!N124</f>
        <v>#DIV/0!</v>
      </c>
      <c r="O124" s="5" t="e">
        <f>'[1]特别隐藏版（勿动、勿看）'!O124</f>
        <v>#DIV/0!</v>
      </c>
    </row>
    <row r="125" s="64" customFormat="1" spans="1:15">
      <c r="A125" s="76">
        <f>'[1]特别隐藏版（勿动、勿看）'!A125</f>
        <v>0</v>
      </c>
      <c r="B125" s="67" t="str">
        <f>'[1]特别隐藏版（勿动、勿看）'!B125</f>
        <v>利润率</v>
      </c>
      <c r="C125" s="5" t="e">
        <f>'[1]特别隐藏版（勿动、勿看）'!C125</f>
        <v>#DIV/0!</v>
      </c>
      <c r="D125" s="5" t="e">
        <f>'[1]特别隐藏版（勿动、勿看）'!D125</f>
        <v>#DIV/0!</v>
      </c>
      <c r="E125" s="5" t="e">
        <f>'[1]特别隐藏版（勿动、勿看）'!E125</f>
        <v>#DIV/0!</v>
      </c>
      <c r="F125" s="5" t="e">
        <f>'[1]特别隐藏版（勿动、勿看）'!F125</f>
        <v>#DIV/0!</v>
      </c>
      <c r="G125" s="5" t="e">
        <f>'[1]特别隐藏版（勿动、勿看）'!G125</f>
        <v>#DIV/0!</v>
      </c>
      <c r="H125" s="5" t="e">
        <f>'[1]特别隐藏版（勿动、勿看）'!H125</f>
        <v>#DIV/0!</v>
      </c>
      <c r="I125" s="5" t="e">
        <f>'[1]特别隐藏版（勿动、勿看）'!I125</f>
        <v>#DIV/0!</v>
      </c>
      <c r="J125" s="5" t="e">
        <f>'[1]特别隐藏版（勿动、勿看）'!J125</f>
        <v>#DIV/0!</v>
      </c>
      <c r="K125" s="5" t="e">
        <f>'[1]特别隐藏版（勿动、勿看）'!K125</f>
        <v>#DIV/0!</v>
      </c>
      <c r="L125" s="5" t="e">
        <f>'[1]特别隐藏版（勿动、勿看）'!L125</f>
        <v>#DIV/0!</v>
      </c>
      <c r="M125" s="5" t="e">
        <f>'[1]特别隐藏版（勿动、勿看）'!M125</f>
        <v>#DIV/0!</v>
      </c>
      <c r="N125" s="5" t="e">
        <f>'[1]特别隐藏版（勿动、勿看）'!N125</f>
        <v>#DIV/0!</v>
      </c>
      <c r="O125" s="5" t="e">
        <f>'[1]特别隐藏版（勿动、勿看）'!O125</f>
        <v>#DIV/0!</v>
      </c>
    </row>
    <row r="126" s="64" customFormat="1" spans="1:15">
      <c r="A126" s="67" t="str">
        <f>'[1]特别隐藏版（勿动、勿看）'!A126</f>
        <v>核心三款</v>
      </c>
      <c r="B126" s="114" t="str">
        <f>'[1]特别隐藏版（勿动、勿看）'!B126</f>
        <v>实际利润（人民币）</v>
      </c>
      <c r="C126" s="67">
        <f>'[1]特别隐藏版（勿动、勿看）'!C126</f>
        <v>72321.76</v>
      </c>
      <c r="D126" s="67">
        <f>'[1]特别隐藏版（勿动、勿看）'!D126</f>
        <v>95377.43</v>
      </c>
      <c r="E126" s="67">
        <f>'[1]特别隐藏版（勿动、勿看）'!E126</f>
        <v>61256.54</v>
      </c>
      <c r="F126" s="67">
        <f>'[1]特别隐藏版（勿动、勿看）'!F126</f>
        <v>56073.62</v>
      </c>
      <c r="G126" s="67">
        <f>'[1]特别隐藏版（勿动、勿看）'!G126</f>
        <v>50110.01743891</v>
      </c>
      <c r="H126" s="67">
        <f>'[1]特别隐藏版（勿动、勿看）'!H126</f>
        <v>15596.4077267664</v>
      </c>
      <c r="I126" s="67">
        <f>'[1]特别隐藏版（勿动、勿看）'!I126</f>
        <v>0</v>
      </c>
      <c r="J126" s="67">
        <f>'[1]特别隐藏版（勿动、勿看）'!J126</f>
        <v>0</v>
      </c>
      <c r="K126" s="67">
        <f>'[1]特别隐藏版（勿动、勿看）'!K126</f>
        <v>0</v>
      </c>
      <c r="L126" s="67">
        <f>'[1]特别隐藏版（勿动、勿看）'!L126</f>
        <v>0</v>
      </c>
      <c r="M126" s="67">
        <f>'[1]特别隐藏版（勿动、勿看）'!M126</f>
        <v>0</v>
      </c>
      <c r="N126" s="67">
        <f>'[1]特别隐藏版（勿动、勿看）'!N126</f>
        <v>0</v>
      </c>
      <c r="O126" s="67">
        <f>'[1]特别隐藏版（勿动、勿看）'!O126</f>
        <v>350735.775165676</v>
      </c>
    </row>
    <row r="127" s="64" customFormat="1" spans="1:15">
      <c r="A127" s="67">
        <f>'[1]特别隐藏版（勿动、勿看）'!A127</f>
        <v>0</v>
      </c>
      <c r="B127" s="114" t="str">
        <f>'[1]特别隐藏版（勿动、勿看）'!B127</f>
        <v>销量完成</v>
      </c>
      <c r="C127" s="67">
        <f>'[1]特别隐藏版（勿动、勿看）'!C127</f>
        <v>2973</v>
      </c>
      <c r="D127" s="67">
        <f>'[1]特别隐藏版（勿动、勿看）'!D127</f>
        <v>4432</v>
      </c>
      <c r="E127" s="67">
        <f>'[1]特别隐藏版（勿动、勿看）'!E127</f>
        <v>2846</v>
      </c>
      <c r="F127" s="67">
        <f>'[1]特别隐藏版（勿动、勿看）'!F127</f>
        <v>3125</v>
      </c>
      <c r="G127" s="67">
        <f>'[1]特别隐藏版（勿动、勿看）'!G127</f>
        <v>1662</v>
      </c>
      <c r="H127" s="67">
        <f>'[1]特别隐藏版（勿动、勿看）'!H127</f>
        <v>490</v>
      </c>
      <c r="I127" s="67">
        <f>'[1]特别隐藏版（勿动、勿看）'!I127</f>
        <v>0</v>
      </c>
      <c r="J127" s="67">
        <f>'[1]特别隐藏版（勿动、勿看）'!J127</f>
        <v>0</v>
      </c>
      <c r="K127" s="67">
        <f>'[1]特别隐藏版（勿动、勿看）'!K127</f>
        <v>0</v>
      </c>
      <c r="L127" s="67">
        <f>'[1]特别隐藏版（勿动、勿看）'!L127</f>
        <v>0</v>
      </c>
      <c r="M127" s="67">
        <f>'[1]特别隐藏版（勿动、勿看）'!M127</f>
        <v>0</v>
      </c>
      <c r="N127" s="67">
        <f>'[1]特别隐藏版（勿动、勿看）'!N127</f>
        <v>0</v>
      </c>
      <c r="O127" s="67">
        <f>'[1]特别隐藏版（勿动、勿看）'!O127</f>
        <v>15528</v>
      </c>
    </row>
    <row r="128" s="64" customFormat="1" spans="1:15">
      <c r="A128" s="67">
        <f>'[1]特别隐藏版（勿动、勿看）'!A128</f>
        <v>0</v>
      </c>
      <c r="B128" s="114" t="str">
        <f>'[1]特别隐藏版（勿动、勿看）'!B128</f>
        <v>实销完成</v>
      </c>
      <c r="C128" s="67">
        <f>'[1]特别隐藏版（勿动、勿看）'!C128</f>
        <v>1142</v>
      </c>
      <c r="D128" s="67">
        <f>'[1]特别隐藏版（勿动、勿看）'!D128</f>
        <v>1591</v>
      </c>
      <c r="E128" s="67">
        <f>'[1]特别隐藏版（勿动、勿看）'!E128</f>
        <v>1078</v>
      </c>
      <c r="F128" s="67">
        <f>'[1]特别隐藏版（勿动、勿看）'!F128</f>
        <v>1163</v>
      </c>
      <c r="G128" s="67">
        <f>'[1]特别隐藏版（勿动、勿看）'!G128</f>
        <v>687</v>
      </c>
      <c r="H128" s="67">
        <f>'[1]特别隐藏版（勿动、勿看）'!H128</f>
        <v>211</v>
      </c>
      <c r="I128" s="67">
        <f>'[1]特别隐藏版（勿动、勿看）'!I128</f>
        <v>0</v>
      </c>
      <c r="J128" s="67">
        <f>'[1]特别隐藏版（勿动、勿看）'!J128</f>
        <v>0</v>
      </c>
      <c r="K128" s="67">
        <f>'[1]特别隐藏版（勿动、勿看）'!K128</f>
        <v>0</v>
      </c>
      <c r="L128" s="67">
        <f>'[1]特别隐藏版（勿动、勿看）'!L128</f>
        <v>0</v>
      </c>
      <c r="M128" s="67">
        <f>'[1]特别隐藏版（勿动、勿看）'!M128</f>
        <v>0</v>
      </c>
      <c r="N128" s="67">
        <f>'[1]特别隐藏版（勿动、勿看）'!N128</f>
        <v>0</v>
      </c>
      <c r="O128" s="67">
        <f>'[1]特别隐藏版（勿动、勿看）'!O128</f>
        <v>5872</v>
      </c>
    </row>
    <row r="129" s="64" customFormat="1" spans="1:15">
      <c r="A129" s="67">
        <f>'[1]特别隐藏版（勿动、勿看）'!A129</f>
        <v>0</v>
      </c>
      <c r="B129" s="114" t="str">
        <f>'[1]特别隐藏版（勿动、勿看）'!B129</f>
        <v>GMV完成</v>
      </c>
      <c r="C129" s="67">
        <f>'[1]特别隐藏版（勿动、勿看）'!C129</f>
        <v>12655308</v>
      </c>
      <c r="D129" s="67">
        <f>'[1]特别隐藏版（勿动、勿看）'!D129</f>
        <v>16371284</v>
      </c>
      <c r="E129" s="67">
        <f>'[1]特别隐藏版（勿动、勿看）'!E129</f>
        <v>12300849</v>
      </c>
      <c r="F129" s="67">
        <f>'[1]特别隐藏版（勿动、勿看）'!F129</f>
        <v>12576283</v>
      </c>
      <c r="G129" s="67">
        <f>'[1]特别隐藏版（勿动、勿看）'!G129</f>
        <v>6966652</v>
      </c>
      <c r="H129" s="67">
        <f>'[1]特别隐藏版（勿动、勿看）'!H129</f>
        <v>2557201</v>
      </c>
      <c r="I129" s="67">
        <f>'[1]特别隐藏版（勿动、勿看）'!I129</f>
        <v>0</v>
      </c>
      <c r="J129" s="67">
        <f>'[1]特别隐藏版（勿动、勿看）'!J129</f>
        <v>0</v>
      </c>
      <c r="K129" s="67">
        <f>'[1]特别隐藏版（勿动、勿看）'!K129</f>
        <v>0</v>
      </c>
      <c r="L129" s="67">
        <f>'[1]特别隐藏版（勿动、勿看）'!L129</f>
        <v>0</v>
      </c>
      <c r="M129" s="67">
        <f>'[1]特别隐藏版（勿动、勿看）'!M129</f>
        <v>0</v>
      </c>
      <c r="N129" s="67">
        <f>'[1]特别隐藏版（勿动、勿看）'!N129</f>
        <v>0</v>
      </c>
      <c r="O129" s="67">
        <f>'[1]特别隐藏版（勿动、勿看）'!O129</f>
        <v>63427577</v>
      </c>
    </row>
    <row r="130" s="64" customFormat="1" spans="1:15">
      <c r="A130" s="67">
        <f>'[1]特别隐藏版（勿动、勿看）'!A130</f>
        <v>0</v>
      </c>
      <c r="B130" s="114" t="str">
        <f>'[1]特别隐藏版（勿动、勿看）'!B130</f>
        <v>GSV完成</v>
      </c>
      <c r="C130" s="67">
        <f>'[1]特别隐藏版（勿动、勿看）'!C130</f>
        <v>407564.12</v>
      </c>
      <c r="D130" s="67">
        <f>'[1]特别隐藏版（勿动、勿看）'!D130</f>
        <v>570457.88</v>
      </c>
      <c r="E130" s="67">
        <f>'[1]特别隐藏版（勿动、勿看）'!E130</f>
        <v>395142.3</v>
      </c>
      <c r="F130" s="67">
        <f>'[1]特别隐藏版（勿动、勿看）'!F130</f>
        <v>435667.29</v>
      </c>
      <c r="G130" s="67">
        <f>'[1]特别隐藏版（勿动、勿看）'!G130</f>
        <v>271213.2648</v>
      </c>
      <c r="H130" s="67">
        <f>'[1]特别隐藏版（勿动、勿看）'!H130</f>
        <v>77898.3585000001</v>
      </c>
      <c r="I130" s="67">
        <f>'[1]特别隐藏版（勿动、勿看）'!I130</f>
        <v>0</v>
      </c>
      <c r="J130" s="67">
        <f>'[1]特别隐藏版（勿动、勿看）'!J130</f>
        <v>0</v>
      </c>
      <c r="K130" s="67">
        <f>'[1]特别隐藏版（勿动、勿看）'!K130</f>
        <v>0</v>
      </c>
      <c r="L130" s="67">
        <f>'[1]特别隐藏版（勿动、勿看）'!L130</f>
        <v>0</v>
      </c>
      <c r="M130" s="67">
        <f>'[1]特别隐藏版（勿动、勿看）'!M130</f>
        <v>0</v>
      </c>
      <c r="N130" s="67">
        <f>'[1]特别隐藏版（勿动、勿看）'!N130</f>
        <v>0</v>
      </c>
      <c r="O130" s="67">
        <f>'[1]特别隐藏版（勿动、勿看）'!O130</f>
        <v>2157943.2133</v>
      </c>
    </row>
    <row r="131" s="64" customFormat="1" spans="1:15">
      <c r="A131" s="67">
        <f>'[1]特别隐藏版（勿动、勿看）'!A131</f>
        <v>0</v>
      </c>
      <c r="B131" s="114" t="str">
        <f>'[1]特别隐藏版（勿动、勿看）'!B131</f>
        <v>退款率</v>
      </c>
      <c r="C131" s="5">
        <f>'[1]特别隐藏版（勿动、勿看）'!C131</f>
        <v>0.402562426769858</v>
      </c>
      <c r="D131" s="5">
        <f>'[1]特别隐藏版（勿动、勿看）'!D131</f>
        <v>0.435562873382442</v>
      </c>
      <c r="E131" s="5">
        <f>'[1]特别隐藏版（勿动、勿看）'!E131</f>
        <v>0.401539662018451</v>
      </c>
      <c r="F131" s="5">
        <f>'[1]特别隐藏版（勿动、勿看）'!F131</f>
        <v>0.433024696168176</v>
      </c>
      <c r="G131" s="5">
        <f>'[1]特别隐藏版（勿动、勿看）'!G131</f>
        <v>0.486627695771225</v>
      </c>
      <c r="H131" s="5">
        <f>'[1]特别隐藏版（勿动、勿看）'!H131</f>
        <v>0.380779407348113</v>
      </c>
      <c r="I131" s="5" t="e">
        <f>'[1]特别隐藏版（勿动、勿看）'!I131</f>
        <v>#DIV/0!</v>
      </c>
      <c r="J131" s="5" t="e">
        <f>'[1]特别隐藏版（勿动、勿看）'!J131</f>
        <v>#DIV/0!</v>
      </c>
      <c r="K131" s="5" t="e">
        <f>'[1]特别隐藏版（勿动、勿看）'!K131</f>
        <v>#DIV/0!</v>
      </c>
      <c r="L131" s="5" t="e">
        <f>'[1]特别隐藏版（勿动、勿看）'!L131</f>
        <v>#DIV/0!</v>
      </c>
      <c r="M131" s="5" t="e">
        <f>'[1]特别隐藏版（勿动、勿看）'!M131</f>
        <v>#DIV/0!</v>
      </c>
      <c r="N131" s="5" t="e">
        <f>'[1]特别隐藏版（勿动、勿看）'!N131</f>
        <v>#DIV/0!</v>
      </c>
      <c r="O131" s="5">
        <f>'[1]特别隐藏版（勿动、勿看）'!O131</f>
        <v>0.0340221606336941</v>
      </c>
    </row>
    <row r="132" s="64" customFormat="1" spans="1:15">
      <c r="A132" s="67">
        <f>'[1]特别隐藏版（勿动、勿看）'!A132</f>
        <v>0</v>
      </c>
      <c r="B132" s="114" t="str">
        <f>'[1]特别隐藏版（勿动、勿看）'!B132</f>
        <v>退货率</v>
      </c>
      <c r="C132" s="5">
        <f>'[1]特别隐藏版（勿动、勿看）'!C132</f>
        <v>0.615876219307097</v>
      </c>
      <c r="D132" s="5">
        <f>'[1]特别隐藏版（勿动、勿看）'!D132</f>
        <v>0.641019855595668</v>
      </c>
      <c r="E132" s="5">
        <f>'[1]特别隐藏版（勿动、勿看）'!E132</f>
        <v>0.621222768798313</v>
      </c>
      <c r="F132" s="5">
        <f>'[1]特别隐藏版（勿动、勿看）'!F132</f>
        <v>0.62784</v>
      </c>
      <c r="G132" s="5">
        <f>'[1]特别隐藏版（勿动、勿看）'!G132</f>
        <v>0.586642599277978</v>
      </c>
      <c r="H132" s="5">
        <f>'[1]特别隐藏版（勿动、勿看）'!H132</f>
        <v>0.569387755102041</v>
      </c>
      <c r="I132" s="5" t="e">
        <f>'[1]特别隐藏版（勿动、勿看）'!I132</f>
        <v>#DIV/0!</v>
      </c>
      <c r="J132" s="5" t="e">
        <f>'[1]特别隐藏版（勿动、勿看）'!J132</f>
        <v>#DIV/0!</v>
      </c>
      <c r="K132" s="5" t="e">
        <f>'[1]特别隐藏版（勿动、勿看）'!K132</f>
        <v>#DIV/0!</v>
      </c>
      <c r="L132" s="5" t="e">
        <f>'[1]特别隐藏版（勿动、勿看）'!L132</f>
        <v>#DIV/0!</v>
      </c>
      <c r="M132" s="5" t="e">
        <f>'[1]特别隐藏版（勿动、勿看）'!M132</f>
        <v>#DIV/0!</v>
      </c>
      <c r="N132" s="5" t="e">
        <f>'[1]特别隐藏版（勿动、勿看）'!N132</f>
        <v>#DIV/0!</v>
      </c>
      <c r="O132" s="5">
        <f>'[1]特别隐藏版（勿动、勿看）'!O132</f>
        <v>0.621844410097888</v>
      </c>
    </row>
    <row r="133" s="64" customFormat="1" spans="1:15">
      <c r="A133" s="67">
        <f>'[1]特别隐藏版（勿动、勿看）'!A133</f>
        <v>0</v>
      </c>
      <c r="B133" s="114" t="str">
        <f>'[1]特别隐藏版（勿动、勿看）'!B133</f>
        <v>利润率</v>
      </c>
      <c r="C133" s="5">
        <f>'[1]特别隐藏版（勿动、勿看）'!C133</f>
        <v>0.177448790143745</v>
      </c>
      <c r="D133" s="5">
        <f>'[1]特别隐藏版（勿动、勿看）'!D133</f>
        <v>0.16719451749882</v>
      </c>
      <c r="E133" s="5">
        <f>'[1]特别隐藏版（勿动、勿看）'!E133</f>
        <v>0.155024000214606</v>
      </c>
      <c r="F133" s="5">
        <f>'[1]特别隐藏版（勿动、勿看）'!F133</f>
        <v>0.128707436355849</v>
      </c>
      <c r="G133" s="5">
        <f>'[1]特别隐藏版（勿动、勿看）'!G133</f>
        <v>0.184762413725827</v>
      </c>
      <c r="H133" s="5">
        <f>'[1]特别隐藏版（勿动、勿看）'!H133</f>
        <v>0.200214844408645</v>
      </c>
      <c r="I133" s="5" t="e">
        <f>'[1]特别隐藏版（勿动、勿看）'!I133</f>
        <v>#DIV/0!</v>
      </c>
      <c r="J133" s="5" t="e">
        <f>'[1]特别隐藏版（勿动、勿看）'!J133</f>
        <v>#DIV/0!</v>
      </c>
      <c r="K133" s="5" t="e">
        <f>'[1]特别隐藏版（勿动、勿看）'!K133</f>
        <v>#DIV/0!</v>
      </c>
      <c r="L133" s="5" t="e">
        <f>'[1]特别隐藏版（勿动、勿看）'!L133</f>
        <v>#DIV/0!</v>
      </c>
      <c r="M133" s="5" t="e">
        <f>'[1]特别隐藏版（勿动、勿看）'!M133</f>
        <v>#DIV/0!</v>
      </c>
      <c r="N133" s="5" t="e">
        <f>'[1]特别隐藏版（勿动、勿看）'!N133</f>
        <v>#DIV/0!</v>
      </c>
      <c r="O133" s="5">
        <f>'[1]特别隐藏版（勿动、勿看）'!O133</f>
        <v>0.162532439687938</v>
      </c>
    </row>
  </sheetData>
  <mergeCells count="93">
    <mergeCell ref="A1:O1"/>
    <mergeCell ref="BP1:CB1"/>
    <mergeCell ref="CC1:CE1"/>
    <mergeCell ref="C3:E3"/>
    <mergeCell ref="F3:H3"/>
    <mergeCell ref="I3:K3"/>
    <mergeCell ref="L3:N3"/>
    <mergeCell ref="C4:E4"/>
    <mergeCell ref="F4:H4"/>
    <mergeCell ref="I4:K4"/>
    <mergeCell ref="L4:N4"/>
    <mergeCell ref="C5:E5"/>
    <mergeCell ref="F5:H5"/>
    <mergeCell ref="I5:K5"/>
    <mergeCell ref="L5:N5"/>
    <mergeCell ref="BQ9:BS9"/>
    <mergeCell ref="BT9:BV9"/>
    <mergeCell ref="BW9:BY9"/>
    <mergeCell ref="BZ9:CB9"/>
    <mergeCell ref="BQ18:BS18"/>
    <mergeCell ref="BT18:BV18"/>
    <mergeCell ref="BW18:BY18"/>
    <mergeCell ref="BZ18:CB18"/>
    <mergeCell ref="BQ27:BS27"/>
    <mergeCell ref="BT27:BV27"/>
    <mergeCell ref="BW27:BY27"/>
    <mergeCell ref="BZ27:CB27"/>
    <mergeCell ref="BQ28:BS28"/>
    <mergeCell ref="BT28:BV28"/>
    <mergeCell ref="BW28:BY28"/>
    <mergeCell ref="BZ28:CB28"/>
    <mergeCell ref="BQ29:BS29"/>
    <mergeCell ref="BT29:BV29"/>
    <mergeCell ref="BW29:BY29"/>
    <mergeCell ref="BZ29:CB29"/>
    <mergeCell ref="BQ33:BS33"/>
    <mergeCell ref="BT33:BV33"/>
    <mergeCell ref="BW33:BY33"/>
    <mergeCell ref="BZ33:CB33"/>
    <mergeCell ref="BQ34:BS34"/>
    <mergeCell ref="BT34:BV34"/>
    <mergeCell ref="BW34:BY34"/>
    <mergeCell ref="BZ34:CB34"/>
    <mergeCell ref="BP40:CB40"/>
    <mergeCell ref="BQ44:BS44"/>
    <mergeCell ref="BT44:BV44"/>
    <mergeCell ref="BW44:BY44"/>
    <mergeCell ref="BZ44:CB44"/>
    <mergeCell ref="BQ45:BS45"/>
    <mergeCell ref="BT45:BV45"/>
    <mergeCell ref="BW45:BY45"/>
    <mergeCell ref="BZ45:CB45"/>
    <mergeCell ref="CC45:CD45"/>
    <mergeCell ref="CC46:CD46"/>
    <mergeCell ref="CC47:CD47"/>
    <mergeCell ref="BQ49:BS49"/>
    <mergeCell ref="BT49:BV49"/>
    <mergeCell ref="BW49:BY49"/>
    <mergeCell ref="BZ49:CB49"/>
    <mergeCell ref="BQ50:BS50"/>
    <mergeCell ref="BT50:BV50"/>
    <mergeCell ref="BW50:BY50"/>
    <mergeCell ref="BZ50:CB50"/>
    <mergeCell ref="CC50:CD50"/>
    <mergeCell ref="A2:A5"/>
    <mergeCell ref="A6:A29"/>
    <mergeCell ref="A30:A37"/>
    <mergeCell ref="A38:A45"/>
    <mergeCell ref="A46:A53"/>
    <mergeCell ref="A54:A61"/>
    <mergeCell ref="A62:A69"/>
    <mergeCell ref="A70:A77"/>
    <mergeCell ref="A78:A85"/>
    <mergeCell ref="A86:A93"/>
    <mergeCell ref="A94:A101"/>
    <mergeCell ref="A102:A109"/>
    <mergeCell ref="A110:A117"/>
    <mergeCell ref="A118:A125"/>
    <mergeCell ref="A126:A133"/>
    <mergeCell ref="O2:O5"/>
    <mergeCell ref="CC48:CC49"/>
    <mergeCell ref="CD48:CD49"/>
    <mergeCell ref="CC2:CE4"/>
    <mergeCell ref="BP3:CB4"/>
    <mergeCell ref="CC5:CE9"/>
    <mergeCell ref="BP10:CB11"/>
    <mergeCell ref="BP19:CB20"/>
    <mergeCell ref="BP24:CB25"/>
    <mergeCell ref="BQ30:BS32"/>
    <mergeCell ref="BT30:BV32"/>
    <mergeCell ref="BW30:BY32"/>
    <mergeCell ref="BZ30:CB32"/>
    <mergeCell ref="CC40:CD44"/>
  </mergeCells>
  <conditionalFormatting sqref="B7:O7">
    <cfRule type="cellIs" dxfId="0" priority="185" operator="greaterThan">
      <formula>0</formula>
    </cfRule>
  </conditionalFormatting>
  <conditionalFormatting sqref="C7:O7">
    <cfRule type="cellIs" dxfId="1" priority="184" operator="greaterThan">
      <formula>0</formula>
    </cfRule>
    <cfRule type="cellIs" dxfId="2" priority="183" operator="lessThan">
      <formula>0</formula>
    </cfRule>
  </conditionalFormatting>
  <conditionalFormatting sqref="C8:O8">
    <cfRule type="dataBar" priority="1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{88b12b0c-21c5-4df4-88da-c65c40584735}</x14:id>
        </ext>
      </extLst>
    </cfRule>
  </conditionalFormatting>
  <conditionalFormatting sqref="C12:O12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{725a36bb-d3fe-4dbf-8f03-3037547e3825}</x14:id>
        </ext>
      </extLst>
    </cfRule>
  </conditionalFormatting>
  <conditionalFormatting sqref="C16:O16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{cc5cdeda-63eb-411d-9f58-b5c893acf903}</x14:id>
        </ext>
      </extLst>
    </cfRule>
  </conditionalFormatting>
  <conditionalFormatting sqref="C20:O20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{079ccaf2-92ac-4256-92d2-3963354f1a9e}</x14:id>
        </ext>
      </extLst>
    </cfRule>
  </conditionalFormatting>
  <conditionalFormatting sqref="C24:O24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{bfb570fa-7381-4673-85f5-e707e591997f}</x14:id>
        </ext>
      </extLst>
    </cfRule>
  </conditionalFormatting>
  <conditionalFormatting sqref="C27:O27">
    <cfRule type="dataBar" priority="1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{ca22ab33-094a-4d65-b3c3-613afc1b687c}</x14:id>
        </ext>
      </extLst>
    </cfRule>
  </conditionalFormatting>
  <conditionalFormatting sqref="C36:O36">
    <cfRule type="dataBar" priority="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{ad02a9a4-671f-4c0c-a0ce-1c70b09a8006}</x14:id>
        </ext>
      </extLst>
    </cfRule>
  </conditionalFormatting>
  <conditionalFormatting sqref="C44:N44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{e5057669-3fbb-48a1-b1bc-741b7ab6334f}</x14:id>
        </ext>
      </extLst>
    </cfRule>
    <cfRule type="cellIs" dxfId="1" priority="24" operator="greaterThan">
      <formula>0</formula>
    </cfRule>
    <cfRule type="cellIs" dxfId="2" priority="23" operator="lessThan">
      <formula>0</formula>
    </cfRule>
  </conditionalFormatting>
  <conditionalFormatting sqref="O44">
    <cfRule type="dataBar" priority="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{7cbbab68-a81e-4287-95ff-7bbea42456a8}</x14:id>
        </ext>
      </extLst>
    </cfRule>
    <cfRule type="cellIs" dxfId="1" priority="54" operator="greaterThan">
      <formula>0</formula>
    </cfRule>
    <cfRule type="cellIs" dxfId="2" priority="53" operator="lessThan">
      <formula>0</formula>
    </cfRule>
  </conditionalFormatting>
  <conditionalFormatting sqref="B45">
    <cfRule type="cellIs" dxfId="1" priority="119" operator="greaterThan">
      <formula>0</formula>
    </cfRule>
    <cfRule type="cellIs" dxfId="2" priority="118" operator="lessThan">
      <formula>0</formula>
    </cfRule>
  </conditionalFormatting>
  <conditionalFormatting sqref="C52:N52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{709d95a4-9190-4099-8174-dc23a602a36b}</x14:id>
        </ext>
      </extLst>
    </cfRule>
    <cfRule type="cellIs" dxfId="1" priority="18" operator="greaterThan">
      <formula>0</formula>
    </cfRule>
    <cfRule type="cellIs" dxfId="2" priority="17" operator="lessThan">
      <formula>0</formula>
    </cfRule>
  </conditionalFormatting>
  <conditionalFormatting sqref="O52">
    <cfRule type="dataBar" priority="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{5308d319-886a-4674-b3c7-dbbdcada47dc}</x14:id>
        </ext>
      </extLst>
    </cfRule>
    <cfRule type="cellIs" dxfId="1" priority="48" operator="greaterThan">
      <formula>0</formula>
    </cfRule>
    <cfRule type="cellIs" dxfId="2" priority="47" operator="lessThan">
      <formula>0</formula>
    </cfRule>
  </conditionalFormatting>
  <conditionalFormatting sqref="B53">
    <cfRule type="cellIs" dxfId="1" priority="113" operator="greaterThan">
      <formula>0</formula>
    </cfRule>
    <cfRule type="cellIs" dxfId="2" priority="112" operator="lessThan">
      <formula>0</formula>
    </cfRule>
  </conditionalFormatting>
  <conditionalFormatting sqref="C60:N60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{b861d31b-0f33-45e1-8659-2bfef54c2fc5}</x14:id>
        </ext>
      </extLst>
    </cfRule>
    <cfRule type="cellIs" dxfId="1" priority="12" operator="greaterThan">
      <formula>0</formula>
    </cfRule>
    <cfRule type="cellIs" dxfId="2" priority="11" operator="lessThan">
      <formula>0</formula>
    </cfRule>
  </conditionalFormatting>
  <conditionalFormatting sqref="O60">
    <cfRule type="dataBar" priority="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{c8180357-42af-4b79-b934-469a56ff223e}</x14:id>
        </ext>
      </extLst>
    </cfRule>
    <cfRule type="cellIs" dxfId="1" priority="42" operator="greaterThan">
      <formula>0</formula>
    </cfRule>
    <cfRule type="cellIs" dxfId="2" priority="41" operator="lessThan">
      <formula>0</formula>
    </cfRule>
  </conditionalFormatting>
  <conditionalFormatting sqref="B61">
    <cfRule type="cellIs" dxfId="1" priority="107" operator="greaterThan">
      <formula>0</formula>
    </cfRule>
    <cfRule type="cellIs" dxfId="2" priority="106" operator="lessThan">
      <formula>0</formula>
    </cfRule>
  </conditionalFormatting>
  <conditionalFormatting sqref="C68:N68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{9c7bfaa0-4223-4423-855c-0dd0e07f7df1}</x14:id>
        </ext>
      </extLst>
    </cfRule>
    <cfRule type="cellIs" dxfId="1" priority="6" operator="greaterThan">
      <formula>0</formula>
    </cfRule>
    <cfRule type="cellIs" dxfId="2" priority="5" operator="lessThan">
      <formula>0</formula>
    </cfRule>
  </conditionalFormatting>
  <conditionalFormatting sqref="O68">
    <cfRule type="dataBar" priority="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{15b9a962-c435-4a8b-9d79-6299f4732988}</x14:id>
        </ext>
      </extLst>
    </cfRule>
    <cfRule type="cellIs" dxfId="1" priority="36" operator="greaterThan">
      <formula>0</formula>
    </cfRule>
    <cfRule type="cellIs" dxfId="2" priority="35" operator="lessThan">
      <formula>0</formula>
    </cfRule>
  </conditionalFormatting>
  <conditionalFormatting sqref="B69">
    <cfRule type="cellIs" dxfId="1" priority="95" operator="greaterThan">
      <formula>0</formula>
    </cfRule>
    <cfRule type="cellIs" dxfId="2" priority="94" operator="lessThan">
      <formula>0</formula>
    </cfRule>
  </conditionalFormatting>
  <conditionalFormatting sqref="C76:N76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{8eb6e413-7d2c-4ac8-9ed8-63f58d8c4d2e}</x14:id>
        </ext>
      </extLst>
    </cfRule>
    <cfRule type="cellIs" dxfId="1" priority="60" operator="greaterThan">
      <formula>0</formula>
    </cfRule>
    <cfRule type="cellIs" dxfId="2" priority="59" operator="lessThan">
      <formula>0</formula>
    </cfRule>
  </conditionalFormatting>
  <conditionalFormatting sqref="O76">
    <cfRule type="dataBar" priority="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{60ad2c9a-0217-47b5-8646-07e24232958f}</x14:id>
        </ext>
      </extLst>
    </cfRule>
    <cfRule type="cellIs" dxfId="1" priority="30" operator="greaterThan">
      <formula>0</formula>
    </cfRule>
    <cfRule type="cellIs" dxfId="2" priority="29" operator="lessThan">
      <formula>0</formula>
    </cfRule>
  </conditionalFormatting>
  <conditionalFormatting sqref="B77">
    <cfRule type="cellIs" dxfId="1" priority="101" operator="greaterThan">
      <formula>0</formula>
    </cfRule>
    <cfRule type="cellIs" dxfId="2" priority="100" operator="lessThan">
      <formula>0</formula>
    </cfRule>
  </conditionalFormatting>
  <conditionalFormatting sqref="C132:O132">
    <cfRule type="dataBar" priority="1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{d4ca01bc-de44-47c5-8f43-6014b94165e1}</x14:id>
        </ext>
      </extLst>
    </cfRule>
  </conditionalFormatting>
  <conditionalFormatting sqref="B43:B44">
    <cfRule type="cellIs" dxfId="2" priority="121" operator="greaterThan">
      <formula>0.68</formula>
    </cfRule>
    <cfRule type="cellIs" dxfId="1" priority="120" operator="lessThan">
      <formula>0.68</formula>
    </cfRule>
  </conditionalFormatting>
  <conditionalFormatting sqref="B51:B52">
    <cfRule type="cellIs" dxfId="2" priority="115" operator="greaterThan">
      <formula>0.68</formula>
    </cfRule>
    <cfRule type="cellIs" dxfId="1" priority="114" operator="lessThan">
      <formula>0.68</formula>
    </cfRule>
  </conditionalFormatting>
  <conditionalFormatting sqref="B59:B60">
    <cfRule type="cellIs" dxfId="2" priority="109" operator="greaterThan">
      <formula>0.68</formula>
    </cfRule>
    <cfRule type="cellIs" dxfId="1" priority="108" operator="lessThan">
      <formula>0.68</formula>
    </cfRule>
  </conditionalFormatting>
  <conditionalFormatting sqref="B67:B68">
    <cfRule type="cellIs" dxfId="2" priority="97" operator="greaterThan">
      <formula>0.68</formula>
    </cfRule>
    <cfRule type="cellIs" dxfId="1" priority="96" operator="lessThan">
      <formula>0.68</formula>
    </cfRule>
  </conditionalFormatting>
  <conditionalFormatting sqref="B75:B76">
    <cfRule type="cellIs" dxfId="2" priority="103" operator="greaterThan">
      <formula>0.68</formula>
    </cfRule>
    <cfRule type="cellIs" dxfId="1" priority="102" operator="lessThan">
      <formula>0.68</formula>
    </cfRule>
  </conditionalFormatting>
  <conditionalFormatting sqref="B26:O26 B27 D27:O27 C28:O28">
    <cfRule type="cellIs" dxfId="2" priority="133" operator="greaterThan">
      <formula>0.68</formula>
    </cfRule>
    <cfRule type="cellIs" dxfId="1" priority="132" operator="lessThan">
      <formula>0.68</formula>
    </cfRule>
  </conditionalFormatting>
  <conditionalFormatting sqref="C26:O26 D27:N27 C28:O28">
    <cfRule type="dataBar" priority="1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{07c2d317-467c-4c5e-ac92-e12be1758d50}</x14:id>
        </ext>
      </extLst>
    </cfRule>
  </conditionalFormatting>
  <conditionalFormatting sqref="C27:O27 B28">
    <cfRule type="cellIs" dxfId="1" priority="131" operator="greaterThan">
      <formula>0</formula>
    </cfRule>
    <cfRule type="cellIs" dxfId="2" priority="130" operator="lessThan">
      <formula>0</formula>
    </cfRule>
  </conditionalFormatting>
  <conditionalFormatting sqref="B35:O35 B36 D36:O36 C37:O37">
    <cfRule type="cellIs" dxfId="2" priority="127" operator="greaterThan">
      <formula>0.68</formula>
    </cfRule>
    <cfRule type="cellIs" dxfId="1" priority="126" operator="lessThan">
      <formula>0.68</formula>
    </cfRule>
  </conditionalFormatting>
  <conditionalFormatting sqref="C35:O35 D36:N36 C37:O37">
    <cfRule type="dataBar" priority="1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{dd6f502e-19cb-4296-a392-4a010db1affd}</x14:id>
        </ext>
      </extLst>
    </cfRule>
  </conditionalFormatting>
  <conditionalFormatting sqref="C36:O36 B37">
    <cfRule type="cellIs" dxfId="1" priority="125" operator="greaterThan">
      <formula>0</formula>
    </cfRule>
    <cfRule type="cellIs" dxfId="2" priority="124" operator="lessThan">
      <formula>0</formula>
    </cfRule>
  </conditionalFormatting>
  <conditionalFormatting sqref="C43:N43 D44:N44 C45:N45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{ce9ce528-2b87-4ba5-9de1-245cf9deee39}</x14:id>
        </ext>
      </extLst>
    </cfRule>
    <cfRule type="cellIs" dxfId="2" priority="26" operator="greaterThan">
      <formula>0.68</formula>
    </cfRule>
    <cfRule type="cellIs" dxfId="1" priority="25" operator="lessThan">
      <formula>0.68</formula>
    </cfRule>
  </conditionalFormatting>
  <conditionalFormatting sqref="O43 O45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{624283ac-b55c-4212-ac1d-deebee0e7cd7}</x14:id>
        </ext>
      </extLst>
    </cfRule>
  </conditionalFormatting>
  <conditionalFormatting sqref="O43 O44 O45">
    <cfRule type="cellIs" dxfId="2" priority="56" operator="greaterThan">
      <formula>0.68</formula>
    </cfRule>
    <cfRule type="cellIs" dxfId="1" priority="55" operator="lessThan">
      <formula>0.68</formula>
    </cfRule>
  </conditionalFormatting>
  <conditionalFormatting sqref="C51:N51 D52:N52 C53:N53">
    <cfRule type="dataBar" priority="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{445ca9c5-33e9-46e7-bc24-56721ea4cb55}</x14:id>
        </ext>
      </extLst>
    </cfRule>
    <cfRule type="cellIs" dxfId="2" priority="20" operator="greaterThan">
      <formula>0.68</formula>
    </cfRule>
    <cfRule type="cellIs" dxfId="1" priority="19" operator="lessThan">
      <formula>0.68</formula>
    </cfRule>
  </conditionalFormatting>
  <conditionalFormatting sqref="O51 O53">
    <cfRule type="dataBar" priority="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{a7679a1a-bad2-4423-8055-e46f8371d6fa}</x14:id>
        </ext>
      </extLst>
    </cfRule>
  </conditionalFormatting>
  <conditionalFormatting sqref="O51 O52 O53">
    <cfRule type="cellIs" dxfId="2" priority="50" operator="greaterThan">
      <formula>0.68</formula>
    </cfRule>
    <cfRule type="cellIs" dxfId="1" priority="49" operator="lessThan">
      <formula>0.68</formula>
    </cfRule>
  </conditionalFormatting>
  <conditionalFormatting sqref="C59:N59 D60:N60 C61:N61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{ba036439-0698-4db3-a7e5-968317b6af2b}</x14:id>
        </ext>
      </extLst>
    </cfRule>
    <cfRule type="cellIs" dxfId="2" priority="14" operator="greaterThan">
      <formula>0.68</formula>
    </cfRule>
    <cfRule type="cellIs" dxfId="1" priority="13" operator="lessThan">
      <formula>0.68</formula>
    </cfRule>
  </conditionalFormatting>
  <conditionalFormatting sqref="O59 O61">
    <cfRule type="dataBar" priority="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{4a5ec903-1f95-477e-a46c-796640926a9d}</x14:id>
        </ext>
      </extLst>
    </cfRule>
  </conditionalFormatting>
  <conditionalFormatting sqref="O59 O60 O61">
    <cfRule type="cellIs" dxfId="2" priority="44" operator="greaterThan">
      <formula>0.68</formula>
    </cfRule>
    <cfRule type="cellIs" dxfId="1" priority="43" operator="lessThan">
      <formula>0.68</formula>
    </cfRule>
  </conditionalFormatting>
  <conditionalFormatting sqref="C67:N67 D68:N68 C69:N69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{052df7c0-65d6-4152-a290-8d9fecfbc6af}</x14:id>
        </ext>
      </extLst>
    </cfRule>
    <cfRule type="cellIs" dxfId="2" priority="8" operator="greaterThan">
      <formula>0.68</formula>
    </cfRule>
    <cfRule type="cellIs" dxfId="1" priority="7" operator="lessThan">
      <formula>0.68</formula>
    </cfRule>
  </conditionalFormatting>
  <conditionalFormatting sqref="O67 O69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{cd1f65d2-ad6c-4f8f-97ca-0fafabc44375}</x14:id>
        </ext>
      </extLst>
    </cfRule>
  </conditionalFormatting>
  <conditionalFormatting sqref="O67 O68 O69">
    <cfRule type="cellIs" dxfId="2" priority="38" operator="greaterThan">
      <formula>0.68</formula>
    </cfRule>
    <cfRule type="cellIs" dxfId="1" priority="37" operator="lessThan">
      <formula>0.68</formula>
    </cfRule>
  </conditionalFormatting>
  <conditionalFormatting sqref="C75:N75 D76:N76 C77:N77">
    <cfRule type="cellIs" dxfId="2" priority="62" operator="greaterThan">
      <formula>0.68</formula>
    </cfRule>
    <cfRule type="cellIs" dxfId="1" priority="61" operator="lessThan">
      <formula>0.68</formula>
    </cfRule>
    <cfRule type="dataBar" priority="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{12f10c76-45dc-4515-930a-5ef78249dd08}</x14:id>
        </ext>
      </extLst>
    </cfRule>
  </conditionalFormatting>
  <conditionalFormatting sqref="O75 O77">
    <cfRule type="dataBar" priority="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{727859f5-4f69-4323-947b-078ba85e2952}</x14:id>
        </ext>
      </extLst>
    </cfRule>
  </conditionalFormatting>
  <conditionalFormatting sqref="O75 O76 O77">
    <cfRule type="cellIs" dxfId="2" priority="32" operator="greaterThan">
      <formula>0.68</formula>
    </cfRule>
    <cfRule type="cellIs" dxfId="1" priority="31" operator="lessThan">
      <formula>0.68</formula>
    </cfRule>
  </conditionalFormatting>
  <conditionalFormatting sqref="B83:O83 B84 D84:O84 C85:O85">
    <cfRule type="cellIs" dxfId="2" priority="180" operator="greaterThan">
      <formula>0.68</formula>
    </cfRule>
    <cfRule type="cellIs" dxfId="1" priority="179" operator="lessThan">
      <formula>0.68</formula>
    </cfRule>
  </conditionalFormatting>
  <conditionalFormatting sqref="C83:N83 D84:N84 C85:O85">
    <cfRule type="dataBar" priority="1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{d482a274-eca3-404a-a26a-091bcaa9fdcc}</x14:id>
        </ext>
      </extLst>
    </cfRule>
  </conditionalFormatting>
  <conditionalFormatting sqref="C84:O84 B85 D85:O85">
    <cfRule type="cellIs" dxfId="1" priority="178" operator="greaterThan">
      <formula>0</formula>
    </cfRule>
    <cfRule type="cellIs" dxfId="2" priority="177" operator="lessThan">
      <formula>0</formula>
    </cfRule>
  </conditionalFormatting>
  <conditionalFormatting sqref="C84:O84 D85:N85">
    <cfRule type="dataBar" priority="1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{184366a0-76d8-444e-8d28-7f6e139c3beb}</x14:id>
        </ext>
      </extLst>
    </cfRule>
  </conditionalFormatting>
  <conditionalFormatting sqref="B91:O91 B92 D92:O92 C93:O93">
    <cfRule type="cellIs" dxfId="2" priority="174" operator="greaterThan">
      <formula>0.68</formula>
    </cfRule>
    <cfRule type="cellIs" dxfId="1" priority="173" operator="lessThan">
      <formula>0.68</formula>
    </cfRule>
  </conditionalFormatting>
  <conditionalFormatting sqref="C91:N91 D92:N92 C93:O93">
    <cfRule type="dataBar" priority="1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{572fffe6-d08f-44b0-8300-da8dfe6918a7}</x14:id>
        </ext>
      </extLst>
    </cfRule>
  </conditionalFormatting>
  <conditionalFormatting sqref="C92:O92 B93 D93:O93">
    <cfRule type="cellIs" dxfId="1" priority="172" operator="greaterThan">
      <formula>0</formula>
    </cfRule>
    <cfRule type="cellIs" dxfId="2" priority="171" operator="lessThan">
      <formula>0</formula>
    </cfRule>
  </conditionalFormatting>
  <conditionalFormatting sqref="C92:O92 D93:N93">
    <cfRule type="dataBar" priority="1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{8de6f208-0689-44aa-a52a-4caf9b6eeaeb}</x14:id>
        </ext>
      </extLst>
    </cfRule>
  </conditionalFormatting>
  <conditionalFormatting sqref="B99:O99 B100 D100:O100 C101:O101">
    <cfRule type="cellIs" dxfId="2" priority="168" operator="greaterThan">
      <formula>0.68</formula>
    </cfRule>
    <cfRule type="cellIs" dxfId="1" priority="167" operator="lessThan">
      <formula>0.68</formula>
    </cfRule>
  </conditionalFormatting>
  <conditionalFormatting sqref="C99:N99 D100:N100 C101:O101">
    <cfRule type="dataBar" priority="1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{0895ba25-34d7-4244-a406-7dc512c50cbd}</x14:id>
        </ext>
      </extLst>
    </cfRule>
  </conditionalFormatting>
  <conditionalFormatting sqref="C100:O100 B101 D101:O101">
    <cfRule type="cellIs" dxfId="1" priority="166" operator="greaterThan">
      <formula>0</formula>
    </cfRule>
    <cfRule type="cellIs" dxfId="2" priority="165" operator="lessThan">
      <formula>0</formula>
    </cfRule>
  </conditionalFormatting>
  <conditionalFormatting sqref="C100:O100 D101:N101">
    <cfRule type="dataBar" priority="1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{8925427e-3d9b-47b0-b03a-451a15829b1a}</x14:id>
        </ext>
      </extLst>
    </cfRule>
  </conditionalFormatting>
  <conditionalFormatting sqref="B107:O107 B108 D108:O108 C109:O109">
    <cfRule type="cellIs" dxfId="2" priority="162" operator="greaterThan">
      <formula>0.68</formula>
    </cfRule>
    <cfRule type="cellIs" dxfId="1" priority="161" operator="lessThan">
      <formula>0.68</formula>
    </cfRule>
  </conditionalFormatting>
  <conditionalFormatting sqref="C107:N107 D108:N108 C109:O109">
    <cfRule type="dataBar" priority="1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{fca8f4e1-8056-4c84-93ef-fd57d609d1ec}</x14:id>
        </ext>
      </extLst>
    </cfRule>
  </conditionalFormatting>
  <conditionalFormatting sqref="C108:O108 B109 D109:O109">
    <cfRule type="cellIs" dxfId="1" priority="160" operator="greaterThan">
      <formula>0</formula>
    </cfRule>
    <cfRule type="cellIs" dxfId="2" priority="159" operator="lessThan">
      <formula>0</formula>
    </cfRule>
  </conditionalFormatting>
  <conditionalFormatting sqref="C108:O108 D109:N109">
    <cfRule type="dataBar" priority="1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{32d36661-12a6-42ef-8eb3-88798e5ab38b}</x14:id>
        </ext>
      </extLst>
    </cfRule>
  </conditionalFormatting>
  <conditionalFormatting sqref="B115:O115 B116 D116:O116 C117:O117">
    <cfRule type="cellIs" dxfId="2" priority="156" operator="greaterThan">
      <formula>0.68</formula>
    </cfRule>
    <cfRule type="cellIs" dxfId="1" priority="155" operator="lessThan">
      <formula>0.68</formula>
    </cfRule>
  </conditionalFormatting>
  <conditionalFormatting sqref="C115:N115 D116:N116 C117:O117">
    <cfRule type="dataBar" priority="1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{3f6eb41d-fd17-423c-947f-7f981954a5ee}</x14:id>
        </ext>
      </extLst>
    </cfRule>
  </conditionalFormatting>
  <conditionalFormatting sqref="C116:O116 B117 D117:O117">
    <cfRule type="cellIs" dxfId="1" priority="154" operator="greaterThan">
      <formula>0</formula>
    </cfRule>
    <cfRule type="cellIs" dxfId="2" priority="153" operator="lessThan">
      <formula>0</formula>
    </cfRule>
  </conditionalFormatting>
  <conditionalFormatting sqref="C116:O116 D117:N117">
    <cfRule type="dataBar" priority="1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{fa367d15-ecc2-4968-8a0a-7e526023b4bf}</x14:id>
        </ext>
      </extLst>
    </cfRule>
  </conditionalFormatting>
  <conditionalFormatting sqref="B123:O123 B124 D124:O124 C125:O125">
    <cfRule type="cellIs" dxfId="2" priority="150" operator="greaterThan">
      <formula>0.68</formula>
    </cfRule>
    <cfRule type="cellIs" dxfId="1" priority="149" operator="lessThan">
      <formula>0.68</formula>
    </cfRule>
  </conditionalFormatting>
  <conditionalFormatting sqref="C123:N123 D124:N124 C125:O125">
    <cfRule type="dataBar" priority="1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{38a199a3-b79e-4269-bd50-b1685c03f727}</x14:id>
        </ext>
      </extLst>
    </cfRule>
  </conditionalFormatting>
  <conditionalFormatting sqref="C124:O124 B125 D125:O125">
    <cfRule type="cellIs" dxfId="1" priority="148" operator="greaterThan">
      <formula>0</formula>
    </cfRule>
    <cfRule type="cellIs" dxfId="2" priority="147" operator="lessThan">
      <formula>0</formula>
    </cfRule>
  </conditionalFormatting>
  <conditionalFormatting sqref="C124:O124 D125:N125">
    <cfRule type="dataBar" priority="1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{bc4d0482-7dcd-4943-9ac1-95dd2fc3e5ea}</x14:id>
        </ext>
      </extLst>
    </cfRule>
  </conditionalFormatting>
  <conditionalFormatting sqref="B131:O131 B132 D132:O132 C133:O133">
    <cfRule type="cellIs" dxfId="2" priority="144" operator="greaterThan">
      <formula>0.68</formula>
    </cfRule>
    <cfRule type="cellIs" dxfId="1" priority="143" operator="lessThan">
      <formula>0.68</formula>
    </cfRule>
  </conditionalFormatting>
  <conditionalFormatting sqref="C131:N131 D132:N132 C133:O133">
    <cfRule type="dataBar" priority="1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{2d644e01-6cec-4bf9-a7e4-51b92966fd40}</x14:id>
        </ext>
      </extLst>
    </cfRule>
  </conditionalFormatting>
  <conditionalFormatting sqref="C132:O132 B133">
    <cfRule type="cellIs" dxfId="1" priority="142" operator="greaterThan">
      <formula>0</formula>
    </cfRule>
    <cfRule type="cellIs" dxfId="2" priority="141" operator="lessThan">
      <formula>0</formula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b12b0c-21c5-4df4-88da-c65c405847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C8:O8</xm:sqref>
        </x14:conditionalFormatting>
        <x14:conditionalFormatting xmlns:xm="http://schemas.microsoft.com/office/excel/2006/main">
          <x14:cfRule type="dataBar" id="{725a36bb-d3fe-4dbf-8f03-3037547e38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C12:O12</xm:sqref>
        </x14:conditionalFormatting>
        <x14:conditionalFormatting xmlns:xm="http://schemas.microsoft.com/office/excel/2006/main">
          <x14:cfRule type="dataBar" id="{cc5cdeda-63eb-411d-9f58-b5c893acf9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C16:O16</xm:sqref>
        </x14:conditionalFormatting>
        <x14:conditionalFormatting xmlns:xm="http://schemas.microsoft.com/office/excel/2006/main">
          <x14:cfRule type="dataBar" id="{079ccaf2-92ac-4256-92d2-3963354f1a9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C20:O20</xm:sqref>
        </x14:conditionalFormatting>
        <x14:conditionalFormatting xmlns:xm="http://schemas.microsoft.com/office/excel/2006/main">
          <x14:cfRule type="dataBar" id="{bfb570fa-7381-4673-85f5-e707e59199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C24:O24</xm:sqref>
        </x14:conditionalFormatting>
        <x14:conditionalFormatting xmlns:xm="http://schemas.microsoft.com/office/excel/2006/main">
          <x14:cfRule type="dataBar" id="{ca22ab33-094a-4d65-b3c3-613afc1b68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C27:O27</xm:sqref>
        </x14:conditionalFormatting>
        <x14:conditionalFormatting xmlns:xm="http://schemas.microsoft.com/office/excel/2006/main">
          <x14:cfRule type="dataBar" id="{ad02a9a4-671f-4c0c-a0ce-1c70b09a800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C36:O36</xm:sqref>
        </x14:conditionalFormatting>
        <x14:conditionalFormatting xmlns:xm="http://schemas.microsoft.com/office/excel/2006/main">
          <x14:cfRule type="dataBar" id="{e5057669-3fbb-48a1-b1bc-741b7ab633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C44:N44</xm:sqref>
        </x14:conditionalFormatting>
        <x14:conditionalFormatting xmlns:xm="http://schemas.microsoft.com/office/excel/2006/main">
          <x14:cfRule type="dataBar" id="{7cbbab68-a81e-4287-95ff-7bbea42456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O44</xm:sqref>
        </x14:conditionalFormatting>
        <x14:conditionalFormatting xmlns:xm="http://schemas.microsoft.com/office/excel/2006/main">
          <x14:cfRule type="dataBar" id="{709d95a4-9190-4099-8174-dc23a602a3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C52:N52</xm:sqref>
        </x14:conditionalFormatting>
        <x14:conditionalFormatting xmlns:xm="http://schemas.microsoft.com/office/excel/2006/main">
          <x14:cfRule type="dataBar" id="{5308d319-886a-4674-b3c7-dbbdcada47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O52</xm:sqref>
        </x14:conditionalFormatting>
        <x14:conditionalFormatting xmlns:xm="http://schemas.microsoft.com/office/excel/2006/main">
          <x14:cfRule type="dataBar" id="{b861d31b-0f33-45e1-8659-2bfef54c2fc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C60:N60</xm:sqref>
        </x14:conditionalFormatting>
        <x14:conditionalFormatting xmlns:xm="http://schemas.microsoft.com/office/excel/2006/main">
          <x14:cfRule type="dataBar" id="{c8180357-42af-4b79-b934-469a56ff22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O60</xm:sqref>
        </x14:conditionalFormatting>
        <x14:conditionalFormatting xmlns:xm="http://schemas.microsoft.com/office/excel/2006/main">
          <x14:cfRule type="dataBar" id="{9c7bfaa0-4223-4423-855c-0dd0e07f7df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C68:N68</xm:sqref>
        </x14:conditionalFormatting>
        <x14:conditionalFormatting xmlns:xm="http://schemas.microsoft.com/office/excel/2006/main">
          <x14:cfRule type="dataBar" id="{15b9a962-c435-4a8b-9d79-6299f47329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O68</xm:sqref>
        </x14:conditionalFormatting>
        <x14:conditionalFormatting xmlns:xm="http://schemas.microsoft.com/office/excel/2006/main">
          <x14:cfRule type="dataBar" id="{8eb6e413-7d2c-4ac8-9ed8-63f58d8c4d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C76:N76</xm:sqref>
        </x14:conditionalFormatting>
        <x14:conditionalFormatting xmlns:xm="http://schemas.microsoft.com/office/excel/2006/main">
          <x14:cfRule type="dataBar" id="{60ad2c9a-0217-47b5-8646-07e2423295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O76</xm:sqref>
        </x14:conditionalFormatting>
        <x14:conditionalFormatting xmlns:xm="http://schemas.microsoft.com/office/excel/2006/main">
          <x14:cfRule type="dataBar" id="{d4ca01bc-de44-47c5-8f43-6014b94165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C132:O132</xm:sqref>
        </x14:conditionalFormatting>
        <x14:conditionalFormatting xmlns:xm="http://schemas.microsoft.com/office/excel/2006/main">
          <x14:cfRule type="dataBar" id="{07c2d317-467c-4c5e-ac92-e12be1758d5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C26:O26 D27:N27 C28:O28</xm:sqref>
        </x14:conditionalFormatting>
        <x14:conditionalFormatting xmlns:xm="http://schemas.microsoft.com/office/excel/2006/main">
          <x14:cfRule type="dataBar" id="{dd6f502e-19cb-4296-a392-4a010db1aff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C35:O35 D36:N36 C37:O37</xm:sqref>
        </x14:conditionalFormatting>
        <x14:conditionalFormatting xmlns:xm="http://schemas.microsoft.com/office/excel/2006/main">
          <x14:cfRule type="dataBar" id="{ce9ce528-2b87-4ba5-9de1-245cf9deee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C43:N43 D44:N44 C45:N45</xm:sqref>
        </x14:conditionalFormatting>
        <x14:conditionalFormatting xmlns:xm="http://schemas.microsoft.com/office/excel/2006/main">
          <x14:cfRule type="dataBar" id="{624283ac-b55c-4212-ac1d-deebee0e7c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O43 O45</xm:sqref>
        </x14:conditionalFormatting>
        <x14:conditionalFormatting xmlns:xm="http://schemas.microsoft.com/office/excel/2006/main">
          <x14:cfRule type="dataBar" id="{445ca9c5-33e9-46e7-bc24-56721ea4cb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C51:N51 D52:N52 C53:N53</xm:sqref>
        </x14:conditionalFormatting>
        <x14:conditionalFormatting xmlns:xm="http://schemas.microsoft.com/office/excel/2006/main">
          <x14:cfRule type="dataBar" id="{a7679a1a-bad2-4423-8055-e46f8371d6f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O51 O53</xm:sqref>
        </x14:conditionalFormatting>
        <x14:conditionalFormatting xmlns:xm="http://schemas.microsoft.com/office/excel/2006/main">
          <x14:cfRule type="dataBar" id="{ba036439-0698-4db3-a7e5-968317b6af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C59:N59 D60:N60 C61:N61</xm:sqref>
        </x14:conditionalFormatting>
        <x14:conditionalFormatting xmlns:xm="http://schemas.microsoft.com/office/excel/2006/main">
          <x14:cfRule type="dataBar" id="{4a5ec903-1f95-477e-a46c-796640926a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O59 O61</xm:sqref>
        </x14:conditionalFormatting>
        <x14:conditionalFormatting xmlns:xm="http://schemas.microsoft.com/office/excel/2006/main">
          <x14:cfRule type="dataBar" id="{052df7c0-65d6-4152-a290-8d9fecfbc6a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C67:N67 D68:N68 C69:N69</xm:sqref>
        </x14:conditionalFormatting>
        <x14:conditionalFormatting xmlns:xm="http://schemas.microsoft.com/office/excel/2006/main">
          <x14:cfRule type="dataBar" id="{cd1f65d2-ad6c-4f8f-97ca-0fafabc443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O67 O69</xm:sqref>
        </x14:conditionalFormatting>
        <x14:conditionalFormatting xmlns:xm="http://schemas.microsoft.com/office/excel/2006/main">
          <x14:cfRule type="dataBar" id="{12f10c76-45dc-4515-930a-5ef78249dd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C75:N75 D76:N76 C77:N77</xm:sqref>
        </x14:conditionalFormatting>
        <x14:conditionalFormatting xmlns:xm="http://schemas.microsoft.com/office/excel/2006/main">
          <x14:cfRule type="dataBar" id="{727859f5-4f69-4323-947b-078ba85e29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O75 O77</xm:sqref>
        </x14:conditionalFormatting>
        <x14:conditionalFormatting xmlns:xm="http://schemas.microsoft.com/office/excel/2006/main">
          <x14:cfRule type="dataBar" id="{d482a274-eca3-404a-a26a-091bcaa9fdc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C83:N83 D84:N84 C85:O85</xm:sqref>
        </x14:conditionalFormatting>
        <x14:conditionalFormatting xmlns:xm="http://schemas.microsoft.com/office/excel/2006/main">
          <x14:cfRule type="dataBar" id="{184366a0-76d8-444e-8d28-7f6e139c3be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C84:O84 D85:N85</xm:sqref>
        </x14:conditionalFormatting>
        <x14:conditionalFormatting xmlns:xm="http://schemas.microsoft.com/office/excel/2006/main">
          <x14:cfRule type="dataBar" id="{572fffe6-d08f-44b0-8300-da8dfe6918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C91:N91 D92:N92 C93:O93</xm:sqref>
        </x14:conditionalFormatting>
        <x14:conditionalFormatting xmlns:xm="http://schemas.microsoft.com/office/excel/2006/main">
          <x14:cfRule type="dataBar" id="{8de6f208-0689-44aa-a52a-4caf9b6eeae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C92:O92 D93:N93</xm:sqref>
        </x14:conditionalFormatting>
        <x14:conditionalFormatting xmlns:xm="http://schemas.microsoft.com/office/excel/2006/main">
          <x14:cfRule type="dataBar" id="{0895ba25-34d7-4244-a406-7dc512c50c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C99:N99 D100:N100 C101:O101</xm:sqref>
        </x14:conditionalFormatting>
        <x14:conditionalFormatting xmlns:xm="http://schemas.microsoft.com/office/excel/2006/main">
          <x14:cfRule type="dataBar" id="{8925427e-3d9b-47b0-b03a-451a15829b1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C100:O100 D101:N101</xm:sqref>
        </x14:conditionalFormatting>
        <x14:conditionalFormatting xmlns:xm="http://schemas.microsoft.com/office/excel/2006/main">
          <x14:cfRule type="dataBar" id="{fca8f4e1-8056-4c84-93ef-fd57d609d1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C107:N107 D108:N108 C109:O109</xm:sqref>
        </x14:conditionalFormatting>
        <x14:conditionalFormatting xmlns:xm="http://schemas.microsoft.com/office/excel/2006/main">
          <x14:cfRule type="dataBar" id="{32d36661-12a6-42ef-8eb3-88798e5ab3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C108:O108 D109:N109</xm:sqref>
        </x14:conditionalFormatting>
        <x14:conditionalFormatting xmlns:xm="http://schemas.microsoft.com/office/excel/2006/main">
          <x14:cfRule type="dataBar" id="{3f6eb41d-fd17-423c-947f-7f981954a5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C115:N115 D116:N116 C117:O117</xm:sqref>
        </x14:conditionalFormatting>
        <x14:conditionalFormatting xmlns:xm="http://schemas.microsoft.com/office/excel/2006/main">
          <x14:cfRule type="dataBar" id="{fa367d15-ecc2-4968-8a0a-7e526023b4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C116:O116 D117:N117</xm:sqref>
        </x14:conditionalFormatting>
        <x14:conditionalFormatting xmlns:xm="http://schemas.microsoft.com/office/excel/2006/main">
          <x14:cfRule type="dataBar" id="{38a199a3-b79e-4269-bd50-b1685c03f72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C123:N123 D124:N124 C125:O125</xm:sqref>
        </x14:conditionalFormatting>
        <x14:conditionalFormatting xmlns:xm="http://schemas.microsoft.com/office/excel/2006/main">
          <x14:cfRule type="dataBar" id="{bc4d0482-7dcd-4943-9ac1-95dd2fc3e5e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C124:O124 D125:N125</xm:sqref>
        </x14:conditionalFormatting>
        <x14:conditionalFormatting xmlns:xm="http://schemas.microsoft.com/office/excel/2006/main">
          <x14:cfRule type="dataBar" id="{2d644e01-6cec-4bf9-a7e4-51b92966fd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C131:N131 D132:N132 C133:O133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4"/>
  <sheetViews>
    <sheetView workbookViewId="0">
      <selection activeCell="H8" sqref="H8"/>
    </sheetView>
  </sheetViews>
  <sheetFormatPr defaultColWidth="8.88888888888889" defaultRowHeight="15.6"/>
  <cols>
    <col min="1" max="1" width="14.1111111111111" style="34" customWidth="1"/>
    <col min="2" max="2" width="20.8888888888889" style="34" customWidth="1"/>
    <col min="3" max="14" width="15.1111111111111" style="34" customWidth="1"/>
    <col min="15" max="15" width="17.4444444444444" style="34" customWidth="1"/>
    <col min="16" max="16" width="15.6666666666667" style="34"/>
    <col min="17" max="16384" width="8.88888888888889" style="34"/>
  </cols>
  <sheetData>
    <row r="1" s="34" customFormat="1" spans="1:15">
      <c r="A1" s="1" t="str">
        <f>'[2]2026年度男装数据汇总分析--俄罗斯'!A1</f>
        <v>2026年度WB男装进度</v>
      </c>
      <c r="B1" s="1">
        <f>'[2]2026年度男装数据汇总分析--俄罗斯'!B1</f>
        <v>0</v>
      </c>
      <c r="C1" s="1">
        <f>'[2]2026年度男装数据汇总分析--俄罗斯'!C1</f>
        <v>0</v>
      </c>
      <c r="D1" s="1">
        <f>'[2]2026年度男装数据汇总分析--俄罗斯'!D1</f>
        <v>0</v>
      </c>
      <c r="E1" s="1">
        <f>'[2]2026年度男装数据汇总分析--俄罗斯'!E1</f>
        <v>0</v>
      </c>
      <c r="F1" s="1">
        <f>'[2]2026年度男装数据汇总分析--俄罗斯'!F1</f>
        <v>0</v>
      </c>
      <c r="G1" s="1">
        <f>'[2]2026年度男装数据汇总分析--俄罗斯'!G1</f>
        <v>0</v>
      </c>
      <c r="H1" s="1">
        <f>'[2]2026年度男装数据汇总分析--俄罗斯'!H1</f>
        <v>0</v>
      </c>
      <c r="I1" s="1">
        <f>'[2]2026年度男装数据汇总分析--俄罗斯'!I1</f>
        <v>0</v>
      </c>
      <c r="J1" s="1">
        <f>'[2]2026年度男装数据汇总分析--俄罗斯'!J1</f>
        <v>0</v>
      </c>
      <c r="K1" s="1">
        <f>'[2]2026年度男装数据汇总分析--俄罗斯'!K1</f>
        <v>0</v>
      </c>
      <c r="L1" s="1">
        <f>'[2]2026年度男装数据汇总分析--俄罗斯'!L1</f>
        <v>0</v>
      </c>
      <c r="M1" s="1">
        <f>'[2]2026年度男装数据汇总分析--俄罗斯'!M1</f>
        <v>0</v>
      </c>
      <c r="N1" s="1">
        <f>'[2]2026年度男装数据汇总分析--俄罗斯'!N1</f>
        <v>0</v>
      </c>
      <c r="O1" s="1">
        <f>'[2]2026年度男装数据汇总分析--俄罗斯'!O1</f>
        <v>0</v>
      </c>
    </row>
    <row r="2" s="34" customFormat="1" spans="1:15">
      <c r="A2" s="1" t="str">
        <f>'[2]2026年度男装数据汇总分析--俄罗斯'!A2</f>
        <v>项目</v>
      </c>
      <c r="B2" s="1" t="str">
        <f>'[2]2026年度男装数据汇总分析--俄罗斯'!B2</f>
        <v>月度</v>
      </c>
      <c r="C2" s="2" t="str">
        <f>'[2]2026年度男装数据汇总分析--俄罗斯'!C2</f>
        <v>2月</v>
      </c>
      <c r="D2" s="2" t="str">
        <f>'[2]2026年度男装数据汇总分析--俄罗斯'!D2</f>
        <v>3月</v>
      </c>
      <c r="E2" s="2" t="str">
        <f>'[2]2026年度男装数据汇总分析--俄罗斯'!E2</f>
        <v>4月</v>
      </c>
      <c r="F2" s="3" t="str">
        <f>'[2]2026年度男装数据汇总分析--俄罗斯'!F2</f>
        <v>5月</v>
      </c>
      <c r="G2" s="3" t="str">
        <f>'[2]2026年度男装数据汇总分析--俄罗斯'!G2</f>
        <v>6月</v>
      </c>
      <c r="H2" s="3" t="str">
        <f>'[2]2026年度男装数据汇总分析--俄罗斯'!H2</f>
        <v>7月</v>
      </c>
      <c r="I2" s="25" t="str">
        <f>'[2]2026年度男装数据汇总分析--俄罗斯'!I2</f>
        <v>8月</v>
      </c>
      <c r="J2" s="25" t="str">
        <f>'[2]2026年度男装数据汇总分析--俄罗斯'!J2</f>
        <v>9月</v>
      </c>
      <c r="K2" s="25" t="str">
        <f>'[2]2026年度男装数据汇总分析--俄罗斯'!K2</f>
        <v>10月</v>
      </c>
      <c r="L2" s="26" t="str">
        <f>'[2]2026年度男装数据汇总分析--俄罗斯'!L2</f>
        <v>11月</v>
      </c>
      <c r="M2" s="26" t="str">
        <f>'[2]2026年度男装数据汇总分析--俄罗斯'!M2</f>
        <v>12月</v>
      </c>
      <c r="N2" s="26" t="str">
        <f>'[2]2026年度男装数据汇总分析--俄罗斯'!N2</f>
        <v>1月</v>
      </c>
      <c r="O2" s="1" t="str">
        <f>'[2]2026年度男装数据汇总分析--俄罗斯'!O2</f>
        <v>汇总</v>
      </c>
    </row>
    <row r="3" s="34" customFormat="1" spans="1:15">
      <c r="A3" s="1">
        <f>'[2]2026年度男装数据汇总分析--俄罗斯'!A3</f>
        <v>0</v>
      </c>
      <c r="B3" s="1" t="str">
        <f>'[2]2026年度男装数据汇总分析--俄罗斯'!B3</f>
        <v>季度</v>
      </c>
      <c r="C3" s="2" t="str">
        <f>'[2]2026年度男装数据汇总分析--俄罗斯'!C3</f>
        <v>Q1</v>
      </c>
      <c r="D3" s="2">
        <f>'[2]2026年度男装数据汇总分析--俄罗斯'!D3</f>
        <v>0</v>
      </c>
      <c r="E3" s="2">
        <f>'[2]2026年度男装数据汇总分析--俄罗斯'!E3</f>
        <v>0</v>
      </c>
      <c r="F3" s="3" t="str">
        <f>'[2]2026年度男装数据汇总分析--俄罗斯'!F3</f>
        <v>Q2</v>
      </c>
      <c r="G3" s="3">
        <f>'[2]2026年度男装数据汇总分析--俄罗斯'!G3</f>
        <v>0</v>
      </c>
      <c r="H3" s="3">
        <f>'[2]2026年度男装数据汇总分析--俄罗斯'!H3</f>
        <v>0</v>
      </c>
      <c r="I3" s="25" t="str">
        <f>'[2]2026年度男装数据汇总分析--俄罗斯'!I3</f>
        <v>Q3</v>
      </c>
      <c r="J3" s="25">
        <f>'[2]2026年度男装数据汇总分析--俄罗斯'!J3</f>
        <v>0</v>
      </c>
      <c r="K3" s="25">
        <f>'[2]2026年度男装数据汇总分析--俄罗斯'!K3</f>
        <v>0</v>
      </c>
      <c r="L3" s="26" t="str">
        <f>'[2]2026年度男装数据汇总分析--俄罗斯'!L3</f>
        <v>Q4</v>
      </c>
      <c r="M3" s="26">
        <f>'[2]2026年度男装数据汇总分析--俄罗斯'!M3</f>
        <v>0</v>
      </c>
      <c r="N3" s="26">
        <f>'[2]2026年度男装数据汇总分析--俄罗斯'!N3</f>
        <v>0</v>
      </c>
      <c r="O3" s="1">
        <f>'[2]2026年度男装数据汇总分析--俄罗斯'!O3</f>
        <v>0</v>
      </c>
    </row>
    <row r="4" s="34" customFormat="1" spans="1:15">
      <c r="A4" s="1">
        <f>'[2]2026年度男装数据汇总分析--俄罗斯'!A4</f>
        <v>0</v>
      </c>
      <c r="B4" s="1" t="str">
        <f>'[2]2026年度男装数据汇总分析--俄罗斯'!B4</f>
        <v>季度财报</v>
      </c>
      <c r="C4" s="4">
        <f>(C7+D7+E7)</f>
        <v>1812058.47</v>
      </c>
      <c r="D4" s="4"/>
      <c r="E4" s="4"/>
      <c r="F4" s="3">
        <f>(F7+G7+H7)</f>
        <v>1460931.31</v>
      </c>
      <c r="G4" s="3"/>
      <c r="H4" s="3"/>
      <c r="I4" s="25">
        <f>(I7+J7+K7)</f>
        <v>0</v>
      </c>
      <c r="J4" s="25"/>
      <c r="K4" s="25"/>
      <c r="L4" s="26">
        <f>(L7+M7+N7)</f>
        <v>0</v>
      </c>
      <c r="M4" s="26"/>
      <c r="N4" s="26"/>
      <c r="O4" s="1">
        <f>'[2]2026年度男装数据汇总分析--俄罗斯'!O4</f>
        <v>0</v>
      </c>
    </row>
    <row r="5" s="34" customFormat="1" spans="1:15">
      <c r="A5" s="1">
        <f>'[2]2026年度男装数据汇总分析--俄罗斯'!A5</f>
        <v>0</v>
      </c>
      <c r="B5" s="1" t="str">
        <f>'[2]2026年度男装数据汇总分析--俄罗斯'!B5</f>
        <v>季度财报进度</v>
      </c>
      <c r="C5" s="6">
        <f>(C7+D7+E7)/(C6+D6+E6)</f>
        <v>1.31183198886128</v>
      </c>
      <c r="D5" s="6"/>
      <c r="E5" s="6"/>
      <c r="F5" s="7">
        <f>(F7+G7+H7)/(F6+G6+H6)</f>
        <v>0.905213945795745</v>
      </c>
      <c r="G5" s="7"/>
      <c r="H5" s="7"/>
      <c r="I5" s="27">
        <f>(I7+J7+K7)/(I6+J6+K6)</f>
        <v>0</v>
      </c>
      <c r="J5" s="27"/>
      <c r="K5" s="27"/>
      <c r="L5" s="28">
        <f>(L7+M7+N7)/(L6+M6+N6)</f>
        <v>0</v>
      </c>
      <c r="M5" s="28"/>
      <c r="N5" s="28"/>
      <c r="O5" s="1">
        <f>'[2]2026年度男装数据汇总分析--俄罗斯'!O5</f>
        <v>0</v>
      </c>
    </row>
    <row r="6" s="34" customFormat="1" ht="31.2" spans="1:15">
      <c r="A6" s="8" t="str">
        <f>'[2]2026年度男装数据汇总分析--俄罗斯'!A6</f>
        <v>目标完成情况</v>
      </c>
      <c r="B6" s="9" t="str">
        <f>'[2]2026年度男装数据汇总分析--俄罗斯'!B6</f>
        <v>月度目标
利润（人民币）</v>
      </c>
      <c r="C6" s="10">
        <f>'[2]2026年度男装数据汇总分析--俄罗斯'!C6</f>
        <v>445623.087260062</v>
      </c>
      <c r="D6" s="10">
        <f>'[2]2026年度男装数据汇总分析--俄罗斯'!D6</f>
        <v>485784.484418571</v>
      </c>
      <c r="E6" s="10">
        <f>'[2]2026年度男装数据汇总分析--俄罗斯'!E6</f>
        <v>449911.442788257</v>
      </c>
      <c r="F6" s="10">
        <f>'[2]2026年度男装数据汇总分析--俄罗斯'!F6</f>
        <v>464012.748298979</v>
      </c>
      <c r="G6" s="10">
        <f>'[2]2026年度男装数据汇总分析--俄罗斯'!G6</f>
        <v>543194.4</v>
      </c>
      <c r="H6" s="10">
        <f>'[2]2026年度男装数据汇总分析--俄罗斯'!H6</f>
        <v>606700.0576</v>
      </c>
      <c r="I6" s="10">
        <f>'[2]2026年度男装数据汇总分析--俄罗斯'!I6</f>
        <v>811749.7808</v>
      </c>
      <c r="J6" s="10">
        <f>'[2]2026年度男装数据汇总分析--俄罗斯'!J6</f>
        <v>972333.6</v>
      </c>
      <c r="K6" s="10">
        <f>'[2]2026年度男装数据汇总分析--俄罗斯'!K6</f>
        <v>1119372.8</v>
      </c>
      <c r="L6" s="10">
        <f>'[2]2026年度男装数据汇总分析--俄罗斯'!L6</f>
        <v>1129094.4</v>
      </c>
      <c r="M6" s="10">
        <f>'[2]2026年度男装数据汇总分析--俄罗斯'!M6</f>
        <v>1025732.96</v>
      </c>
      <c r="N6" s="10">
        <f>'[2]2026年度男装数据汇总分析--俄罗斯'!N6</f>
        <v>701760.64</v>
      </c>
      <c r="O6" s="35">
        <f>'[2]2026年度男装数据汇总分析--俄罗斯'!O6</f>
        <v>8755270.40116587</v>
      </c>
    </row>
    <row r="7" s="34" customFormat="1" spans="1:15">
      <c r="A7" s="11">
        <f>'[2]2026年度男装数据汇总分析--俄罗斯'!A7</f>
        <v>0</v>
      </c>
      <c r="B7" s="12" t="str">
        <f>'[2]2026年度男装数据汇总分析--俄罗斯'!B7</f>
        <v>实际利润（人民币）</v>
      </c>
      <c r="C7" s="13">
        <f>'[2]2026年度男装数据汇总分析--俄罗斯'!C7</f>
        <v>573037.44</v>
      </c>
      <c r="D7" s="13">
        <f>'[2]2026年度男装数据汇总分析--俄罗斯'!D7</f>
        <v>647037.05</v>
      </c>
      <c r="E7" s="13">
        <f>'[2]2026年度男装数据汇总分析--俄罗斯'!E7</f>
        <v>591983.98</v>
      </c>
      <c r="F7" s="13">
        <f>'[2]2026年度男装数据汇总分析--俄罗斯'!F7</f>
        <v>706739.4</v>
      </c>
      <c r="G7" s="13">
        <f>'[2]2026年度男装数据汇总分析--俄罗斯'!G7</f>
        <v>593421.46</v>
      </c>
      <c r="H7" s="13">
        <f>'[2]2026年度男装数据汇总分析--俄罗斯'!H7</f>
        <v>160770.45</v>
      </c>
      <c r="I7" s="13">
        <f>'[2]2026年度男装数据汇总分析--俄罗斯'!I7</f>
        <v>0</v>
      </c>
      <c r="J7" s="13">
        <f>'[2]2026年度男装数据汇总分析--俄罗斯'!J7</f>
        <v>0</v>
      </c>
      <c r="K7" s="13">
        <f>'[2]2026年度男装数据汇总分析--俄罗斯'!K7</f>
        <v>0</v>
      </c>
      <c r="L7" s="13">
        <f>'[2]2026年度男装数据汇总分析--俄罗斯'!L7</f>
        <v>0</v>
      </c>
      <c r="M7" s="13">
        <f>'[2]2026年度男装数据汇总分析--俄罗斯'!M7</f>
        <v>0</v>
      </c>
      <c r="N7" s="13">
        <f>'[2]2026年度男装数据汇总分析--俄罗斯'!N7</f>
        <v>0</v>
      </c>
      <c r="O7" s="13">
        <f>'[2]2026年度男装数据汇总分析--俄罗斯'!O7</f>
        <v>3272989.78</v>
      </c>
    </row>
    <row r="8" s="34" customFormat="1" spans="1:15">
      <c r="A8" s="11">
        <f>'[2]2026年度男装数据汇总分析--俄罗斯'!A8</f>
        <v>0</v>
      </c>
      <c r="B8" s="1" t="str">
        <f>'[2]2026年度男装数据汇总分析--俄罗斯'!B8</f>
        <v>目标完成进度</v>
      </c>
      <c r="C8" s="5">
        <f>'[2]2026年度男装数据汇总分析--俄罗斯'!C8</f>
        <v>1.28592403845894</v>
      </c>
      <c r="D8" s="5">
        <f>'[2]2026年度男装数据汇总分析--俄罗斯'!D8</f>
        <v>1.33194260161362</v>
      </c>
      <c r="E8" s="5">
        <f>'[2]2026年度男装数据汇总分析--俄罗斯'!E8</f>
        <v>1.3157788926889</v>
      </c>
      <c r="F8" s="5">
        <f>'[2]2026年度男装数据汇总分析--俄罗斯'!F8</f>
        <v>1.52310341168606</v>
      </c>
      <c r="G8" s="5">
        <f>'[2]2026年度男装数据汇总分析--俄罗斯'!G8</f>
        <v>1.09246608580648</v>
      </c>
      <c r="H8" s="5">
        <f>'[2]2026年度男装数据汇总分析--俄罗斯'!H8</f>
        <v>0.264991651123259</v>
      </c>
      <c r="I8" s="5">
        <f>'[2]2026年度男装数据汇总分析--俄罗斯'!I8</f>
        <v>0</v>
      </c>
      <c r="J8" s="5">
        <f>'[2]2026年度男装数据汇总分析--俄罗斯'!J8</f>
        <v>0</v>
      </c>
      <c r="K8" s="5">
        <f>'[2]2026年度男装数据汇总分析--俄罗斯'!K8</f>
        <v>0</v>
      </c>
      <c r="L8" s="5">
        <f>'[2]2026年度男装数据汇总分析--俄罗斯'!L8</f>
        <v>0</v>
      </c>
      <c r="M8" s="5">
        <f>'[2]2026年度男装数据汇总分析--俄罗斯'!M8</f>
        <v>0</v>
      </c>
      <c r="N8" s="5">
        <f>'[2]2026年度男装数据汇总分析--俄罗斯'!N8</f>
        <v>0</v>
      </c>
      <c r="O8" s="5">
        <f>'[2]2026年度男装数据汇总分析--俄罗斯'!O8</f>
        <v>0.373830804764655</v>
      </c>
    </row>
    <row r="9" s="34" customFormat="1" spans="1:15">
      <c r="A9" s="15">
        <f>'[2]2026年度男装数据汇总分析--俄罗斯'!A9</f>
        <v>0</v>
      </c>
      <c r="B9" s="16">
        <f>'[2]2026年度男装数据汇总分析--俄罗斯'!B9</f>
        <v>0</v>
      </c>
      <c r="C9" s="17">
        <f>'[2]2026年度男装数据汇总分析--俄罗斯'!C9</f>
        <v>0</v>
      </c>
      <c r="D9" s="17">
        <f>'[2]2026年度男装数据汇总分析--俄罗斯'!D9</f>
        <v>0</v>
      </c>
      <c r="E9" s="17">
        <f>'[2]2026年度男装数据汇总分析--俄罗斯'!E9</f>
        <v>0</v>
      </c>
      <c r="F9" s="17">
        <f>'[2]2026年度男装数据汇总分析--俄罗斯'!F9</f>
        <v>0</v>
      </c>
      <c r="G9" s="17">
        <f>'[2]2026年度男装数据汇总分析--俄罗斯'!G9</f>
        <v>0</v>
      </c>
      <c r="H9" s="17">
        <f>'[2]2026年度男装数据汇总分析--俄罗斯'!H9</f>
        <v>0</v>
      </c>
      <c r="I9" s="17">
        <f>'[2]2026年度男装数据汇总分析--俄罗斯'!I9</f>
        <v>0</v>
      </c>
      <c r="J9" s="17">
        <f>'[2]2026年度男装数据汇总分析--俄罗斯'!J9</f>
        <v>0</v>
      </c>
      <c r="K9" s="17">
        <f>'[2]2026年度男装数据汇总分析--俄罗斯'!K9</f>
        <v>0</v>
      </c>
      <c r="L9" s="17">
        <f>'[2]2026年度男装数据汇总分析--俄罗斯'!L9</f>
        <v>0</v>
      </c>
      <c r="M9" s="17">
        <f>'[2]2026年度男装数据汇总分析--俄罗斯'!M9</f>
        <v>0</v>
      </c>
      <c r="N9" s="17">
        <f>'[2]2026年度男装数据汇总分析--俄罗斯'!N9</f>
        <v>0</v>
      </c>
      <c r="O9" s="30">
        <f>'[2]2026年度男装数据汇总分析--俄罗斯'!O9</f>
        <v>0</v>
      </c>
    </row>
    <row r="10" s="34" customFormat="1" spans="1:15">
      <c r="A10" s="11">
        <f>'[2]2026年度男装数据汇总分析--俄罗斯'!A10</f>
        <v>0</v>
      </c>
      <c r="B10" s="1" t="str">
        <f>'[2]2026年度男装数据汇总分析--俄罗斯'!B10</f>
        <v>销量目标</v>
      </c>
      <c r="C10" s="1">
        <f>'[2]2026年度男装数据汇总分析--俄罗斯'!C10</f>
        <v>29092</v>
      </c>
      <c r="D10" s="1">
        <f>'[2]2026年度男装数据汇总分析--俄罗斯'!D10</f>
        <v>31620</v>
      </c>
      <c r="E10" s="1">
        <f>'[2]2026年度男装数据汇总分析--俄罗斯'!E10</f>
        <v>29700</v>
      </c>
      <c r="F10" s="1">
        <f>'[2]2026年度男装数据汇总分析--俄罗斯'!F10</f>
        <v>31930</v>
      </c>
      <c r="G10" s="1">
        <f>'[2]2026年度男装数据汇总分析--俄罗斯'!G10</f>
        <v>36000</v>
      </c>
      <c r="H10" s="1">
        <f>'[2]2026年度男装数据汇总分析--俄罗斯'!H10</f>
        <v>40207</v>
      </c>
      <c r="I10" s="1">
        <f>'[2]2026年度男装数据汇总分析--俄罗斯'!I10</f>
        <v>53723</v>
      </c>
      <c r="J10" s="1">
        <f>'[2]2026年度男装数据汇总分析--俄罗斯'!J10</f>
        <v>64500</v>
      </c>
      <c r="K10" s="1">
        <f>'[2]2026年度男装数据汇总分析--俄罗斯'!K10</f>
        <v>74400</v>
      </c>
      <c r="L10" s="1">
        <f>'[2]2026年度男装数据汇总分析--俄罗斯'!L10</f>
        <v>75000</v>
      </c>
      <c r="M10" s="1">
        <f>'[2]2026年度男装数据汇总分析--俄罗斯'!M10</f>
        <v>68200</v>
      </c>
      <c r="N10" s="1">
        <f>'[2]2026年度男装数据汇总分析--俄罗斯'!N10</f>
        <v>46500</v>
      </c>
      <c r="O10" s="31">
        <f>'[2]2026年度男装数据汇总分析--俄罗斯'!O10</f>
        <v>580872</v>
      </c>
    </row>
    <row r="11" s="34" customFormat="1" spans="1:15">
      <c r="A11" s="11">
        <f>'[2]2026年度男装数据汇总分析--俄罗斯'!A11</f>
        <v>0</v>
      </c>
      <c r="B11" s="12" t="str">
        <f>'[2]2026年度男装数据汇总分析--俄罗斯'!B11</f>
        <v>销量完成</v>
      </c>
      <c r="C11" s="12">
        <f>'[2]2026年度男装数据汇总分析--俄罗斯'!C11</f>
        <v>29860</v>
      </c>
      <c r="D11" s="12">
        <f>'[2]2026年度男装数据汇总分析--俄罗斯'!D11</f>
        <v>32519</v>
      </c>
      <c r="E11" s="12">
        <f>'[2]2026年度男装数据汇总分析--俄罗斯'!E11</f>
        <v>32812</v>
      </c>
      <c r="F11" s="12">
        <f>'[2]2026年度男装数据汇总分析--俄罗斯'!F11</f>
        <v>33812</v>
      </c>
      <c r="G11" s="12">
        <f>'[2]2026年度男装数据汇总分析--俄罗斯'!G11</f>
        <v>26753</v>
      </c>
      <c r="H11" s="12">
        <f>'[2]2026年度男装数据汇总分析--俄罗斯'!H11</f>
        <v>7111</v>
      </c>
      <c r="I11" s="12">
        <f>'[2]2026年度男装数据汇总分析--俄罗斯'!I11</f>
        <v>0</v>
      </c>
      <c r="J11" s="12">
        <f>'[2]2026年度男装数据汇总分析--俄罗斯'!J11</f>
        <v>0</v>
      </c>
      <c r="K11" s="12">
        <f>'[2]2026年度男装数据汇总分析--俄罗斯'!K11</f>
        <v>0</v>
      </c>
      <c r="L11" s="12">
        <f>'[2]2026年度男装数据汇总分析--俄罗斯'!L11</f>
        <v>0</v>
      </c>
      <c r="M11" s="12">
        <f>'[2]2026年度男装数据汇总分析--俄罗斯'!M11</f>
        <v>0</v>
      </c>
      <c r="N11" s="12">
        <f>'[2]2026年度男装数据汇总分析--俄罗斯'!N11</f>
        <v>0</v>
      </c>
      <c r="O11" s="12">
        <f>'[2]2026年度男装数据汇总分析--俄罗斯'!O11</f>
        <v>162867</v>
      </c>
    </row>
    <row r="12" s="34" customFormat="1" spans="1:15">
      <c r="A12" s="11">
        <f>'[2]2026年度男装数据汇总分析--俄罗斯'!A12</f>
        <v>0</v>
      </c>
      <c r="B12" s="1" t="str">
        <f>'[2]2026年度男装数据汇总分析--俄罗斯'!B12</f>
        <v>销量完成进度</v>
      </c>
      <c r="C12" s="5">
        <f>'[2]2026年度男装数据汇总分析--俄罗斯'!C12</f>
        <v>1.02639901003712</v>
      </c>
      <c r="D12" s="5">
        <f>'[2]2026年度男装数据汇总分析--俄罗斯'!D12</f>
        <v>1.02843137254902</v>
      </c>
      <c r="E12" s="5">
        <f>'[2]2026年度男装数据汇总分析--俄罗斯'!E12</f>
        <v>1.10478114478114</v>
      </c>
      <c r="F12" s="5">
        <f>'[2]2026年度男装数据汇总分析--俄罗斯'!F12</f>
        <v>1.05894143438772</v>
      </c>
      <c r="G12" s="5">
        <f>'[2]2026年度男装数据汇总分析--俄罗斯'!G12</f>
        <v>0.743138888888889</v>
      </c>
      <c r="H12" s="5">
        <f>'[2]2026年度男装数据汇总分析--俄罗斯'!H12</f>
        <v>0.176859750789663</v>
      </c>
      <c r="I12" s="5">
        <f>'[2]2026年度男装数据汇总分析--俄罗斯'!I12</f>
        <v>0</v>
      </c>
      <c r="J12" s="5">
        <f>'[2]2026年度男装数据汇总分析--俄罗斯'!J12</f>
        <v>0</v>
      </c>
      <c r="K12" s="5">
        <f>'[2]2026年度男装数据汇总分析--俄罗斯'!K12</f>
        <v>0</v>
      </c>
      <c r="L12" s="5">
        <f>'[2]2026年度男装数据汇总分析--俄罗斯'!L12</f>
        <v>0</v>
      </c>
      <c r="M12" s="5">
        <f>'[2]2026年度男装数据汇总分析--俄罗斯'!M12</f>
        <v>0</v>
      </c>
      <c r="N12" s="5">
        <f>'[2]2026年度男装数据汇总分析--俄罗斯'!N12</f>
        <v>0</v>
      </c>
      <c r="O12" s="5">
        <f>'[2]2026年度男装数据汇总分析--俄罗斯'!O12</f>
        <v>0.280383630128496</v>
      </c>
    </row>
    <row r="13" s="34" customFormat="1" spans="1:15">
      <c r="A13" s="11">
        <f>'[2]2026年度男装数据汇总分析--俄罗斯'!A13</f>
        <v>0</v>
      </c>
      <c r="B13" s="16">
        <f>'[2]2026年度男装数据汇总分析--俄罗斯'!B13</f>
        <v>0</v>
      </c>
      <c r="C13" s="17">
        <f>'[2]2026年度男装数据汇总分析--俄罗斯'!C13</f>
        <v>0</v>
      </c>
      <c r="D13" s="17">
        <f>'[2]2026年度男装数据汇总分析--俄罗斯'!D13</f>
        <v>0</v>
      </c>
      <c r="E13" s="17">
        <f>'[2]2026年度男装数据汇总分析--俄罗斯'!E13</f>
        <v>0</v>
      </c>
      <c r="F13" s="17">
        <f>'[2]2026年度男装数据汇总分析--俄罗斯'!F13</f>
        <v>0</v>
      </c>
      <c r="G13" s="17">
        <f>'[2]2026年度男装数据汇总分析--俄罗斯'!G13</f>
        <v>0</v>
      </c>
      <c r="H13" s="17">
        <f>'[2]2026年度男装数据汇总分析--俄罗斯'!H13</f>
        <v>0</v>
      </c>
      <c r="I13" s="17">
        <f>'[2]2026年度男装数据汇总分析--俄罗斯'!I13</f>
        <v>0</v>
      </c>
      <c r="J13" s="17">
        <f>'[2]2026年度男装数据汇总分析--俄罗斯'!J13</f>
        <v>0</v>
      </c>
      <c r="K13" s="17">
        <f>'[2]2026年度男装数据汇总分析--俄罗斯'!K13</f>
        <v>0</v>
      </c>
      <c r="L13" s="17">
        <f>'[2]2026年度男装数据汇总分析--俄罗斯'!L13</f>
        <v>0</v>
      </c>
      <c r="M13" s="17">
        <f>'[2]2026年度男装数据汇总分析--俄罗斯'!M13</f>
        <v>0</v>
      </c>
      <c r="N13" s="17">
        <f>'[2]2026年度男装数据汇总分析--俄罗斯'!N13</f>
        <v>0</v>
      </c>
      <c r="O13" s="30">
        <f>'[2]2026年度男装数据汇总分析--俄罗斯'!O13</f>
        <v>0</v>
      </c>
    </row>
    <row r="14" s="34" customFormat="1" spans="1:15">
      <c r="A14" s="11">
        <f>'[2]2026年度男装数据汇总分析--俄罗斯'!A14</f>
        <v>0</v>
      </c>
      <c r="B14" s="1" t="str">
        <f>'[2]2026年度男装数据汇总分析--俄罗斯'!B14</f>
        <v>实销目标</v>
      </c>
      <c r="C14" s="18">
        <f>'[2]2026年度男装数据汇总分析--俄罗斯'!C14</f>
        <v>9018.52</v>
      </c>
      <c r="D14" s="18">
        <f>'[2]2026年度男装数据汇总分析--俄罗斯'!D14</f>
        <v>9802.2</v>
      </c>
      <c r="E14" s="18">
        <f>'[2]2026年度男装数据汇总分析--俄罗斯'!E14</f>
        <v>9207</v>
      </c>
      <c r="F14" s="18">
        <f>'[2]2026年度男装数据汇总分析--俄罗斯'!F14</f>
        <v>9898.3</v>
      </c>
      <c r="G14" s="18">
        <f>'[2]2026年度男装数据汇总分析--俄罗斯'!G14</f>
        <v>11160</v>
      </c>
      <c r="H14" s="18">
        <f>'[2]2026年度男装数据汇总分析--俄罗斯'!H14</f>
        <v>12464.17</v>
      </c>
      <c r="I14" s="18">
        <f>'[2]2026年度男装数据汇总分析--俄罗斯'!I14</f>
        <v>16654.13</v>
      </c>
      <c r="J14" s="18">
        <f>'[2]2026年度男装数据汇总分析--俄罗斯'!J14</f>
        <v>19995</v>
      </c>
      <c r="K14" s="18">
        <f>'[2]2026年度男装数据汇总分析--俄罗斯'!K14</f>
        <v>23064</v>
      </c>
      <c r="L14" s="18">
        <f>'[2]2026年度男装数据汇总分析--俄罗斯'!L14</f>
        <v>23250</v>
      </c>
      <c r="M14" s="18">
        <f>'[2]2026年度男装数据汇总分析--俄罗斯'!M14</f>
        <v>21142</v>
      </c>
      <c r="N14" s="18">
        <f>'[2]2026年度男装数据汇总分析--俄罗斯'!N14</f>
        <v>14415</v>
      </c>
      <c r="O14" s="32">
        <f>'[2]2026年度男装数据汇总分析--俄罗斯'!O14</f>
        <v>180070.32</v>
      </c>
    </row>
    <row r="15" s="34" customFormat="1" spans="1:15">
      <c r="A15" s="11">
        <f>'[2]2026年度男装数据汇总分析--俄罗斯'!A15</f>
        <v>0</v>
      </c>
      <c r="B15" s="12" t="str">
        <f>'[2]2026年度男装数据汇总分析--俄罗斯'!B15</f>
        <v>实销完成</v>
      </c>
      <c r="C15" s="12">
        <f>'[2]2026年度男装数据汇总分析--俄罗斯'!C15</f>
        <v>10171</v>
      </c>
      <c r="D15" s="12">
        <f>'[2]2026年度男装数据汇总分析--俄罗斯'!D15</f>
        <v>11583</v>
      </c>
      <c r="E15" s="12">
        <f>'[2]2026年度男装数据汇总分析--俄罗斯'!E15</f>
        <v>12133</v>
      </c>
      <c r="F15" s="12">
        <f>'[2]2026年度男装数据汇总分析--俄罗斯'!F15</f>
        <v>12177</v>
      </c>
      <c r="G15" s="12">
        <f>'[2]2026年度男装数据汇总分析--俄罗斯'!G15</f>
        <v>9282</v>
      </c>
      <c r="H15" s="12">
        <f>'[2]2026年度男装数据汇总分析--俄罗斯'!H15</f>
        <v>2512</v>
      </c>
      <c r="I15" s="12">
        <f>'[2]2026年度男装数据汇总分析--俄罗斯'!I15</f>
        <v>0</v>
      </c>
      <c r="J15" s="12">
        <f>'[2]2026年度男装数据汇总分析--俄罗斯'!J15</f>
        <v>0</v>
      </c>
      <c r="K15" s="12">
        <f>'[2]2026年度男装数据汇总分析--俄罗斯'!K15</f>
        <v>0</v>
      </c>
      <c r="L15" s="12">
        <f>'[2]2026年度男装数据汇总分析--俄罗斯'!L15</f>
        <v>0</v>
      </c>
      <c r="M15" s="12">
        <f>'[2]2026年度男装数据汇总分析--俄罗斯'!M15</f>
        <v>0</v>
      </c>
      <c r="N15" s="12">
        <f>'[2]2026年度男装数据汇总分析--俄罗斯'!N15</f>
        <v>0</v>
      </c>
      <c r="O15" s="12">
        <f>'[2]2026年度男装数据汇总分析--俄罗斯'!O15</f>
        <v>57858</v>
      </c>
    </row>
    <row r="16" s="34" customFormat="1" spans="1:15">
      <c r="A16" s="11">
        <f>'[2]2026年度男装数据汇总分析--俄罗斯'!A16</f>
        <v>0</v>
      </c>
      <c r="B16" s="1" t="str">
        <f>'[2]2026年度男装数据汇总分析--俄罗斯'!B16</f>
        <v>实销完成进度</v>
      </c>
      <c r="C16" s="5">
        <f>'[2]2026年度男装数据汇总分析--俄罗斯'!C16</f>
        <v>1.12779036915148</v>
      </c>
      <c r="D16" s="5">
        <f>'[2]2026年度男装数据汇总分析--俄罗斯'!D16</f>
        <v>1.18167350186693</v>
      </c>
      <c r="E16" s="5">
        <f>'[2]2026年度男装数据汇总分析--俄罗斯'!E16</f>
        <v>1.31780167264038</v>
      </c>
      <c r="F16" s="5">
        <f>'[2]2026年度男装数据汇总分析--俄罗斯'!F16</f>
        <v>1.23021124839619</v>
      </c>
      <c r="G16" s="5">
        <f>'[2]2026年度男装数据汇总分析--俄罗斯'!G16</f>
        <v>0.831720430107527</v>
      </c>
      <c r="H16" s="5">
        <f>'[2]2026年度男装数据汇总分析--俄罗斯'!H16</f>
        <v>0.201537687627816</v>
      </c>
      <c r="I16" s="5">
        <f>'[2]2026年度男装数据汇总分析--俄罗斯'!I16</f>
        <v>0</v>
      </c>
      <c r="J16" s="5">
        <f>'[2]2026年度男装数据汇总分析--俄罗斯'!J16</f>
        <v>0</v>
      </c>
      <c r="K16" s="5">
        <f>'[2]2026年度男装数据汇总分析--俄罗斯'!K16</f>
        <v>0</v>
      </c>
      <c r="L16" s="5">
        <f>'[2]2026年度男装数据汇总分析--俄罗斯'!L16</f>
        <v>0</v>
      </c>
      <c r="M16" s="5">
        <f>'[2]2026年度男装数据汇总分析--俄罗斯'!M16</f>
        <v>0</v>
      </c>
      <c r="N16" s="5">
        <f>'[2]2026年度男装数据汇总分析--俄罗斯'!N16</f>
        <v>0</v>
      </c>
      <c r="O16" s="5">
        <f>'[2]2026年度男装数据汇总分析--俄罗斯'!O16</f>
        <v>0.321307809082585</v>
      </c>
    </row>
    <row r="17" s="34" customFormat="1" spans="1:15">
      <c r="A17" s="11">
        <f>'[2]2026年度男装数据汇总分析--俄罗斯'!A17</f>
        <v>0</v>
      </c>
      <c r="B17" s="16">
        <f>'[2]2026年度男装数据汇总分析--俄罗斯'!B17</f>
        <v>0</v>
      </c>
      <c r="C17" s="17">
        <f>'[2]2026年度男装数据汇总分析--俄罗斯'!C17</f>
        <v>0</v>
      </c>
      <c r="D17" s="17">
        <f>'[2]2026年度男装数据汇总分析--俄罗斯'!D17</f>
        <v>0</v>
      </c>
      <c r="E17" s="17">
        <f>'[2]2026年度男装数据汇总分析--俄罗斯'!E17</f>
        <v>0</v>
      </c>
      <c r="F17" s="17">
        <f>'[2]2026年度男装数据汇总分析--俄罗斯'!F17</f>
        <v>0</v>
      </c>
      <c r="G17" s="17">
        <f>'[2]2026年度男装数据汇总分析--俄罗斯'!G17</f>
        <v>0</v>
      </c>
      <c r="H17" s="17">
        <f>'[2]2026年度男装数据汇总分析--俄罗斯'!H17</f>
        <v>0</v>
      </c>
      <c r="I17" s="17">
        <f>'[2]2026年度男装数据汇总分析--俄罗斯'!I17</f>
        <v>0</v>
      </c>
      <c r="J17" s="17">
        <f>'[2]2026年度男装数据汇总分析--俄罗斯'!J17</f>
        <v>0</v>
      </c>
      <c r="K17" s="17">
        <f>'[2]2026年度男装数据汇总分析--俄罗斯'!K17</f>
        <v>0</v>
      </c>
      <c r="L17" s="17">
        <f>'[2]2026年度男装数据汇总分析--俄罗斯'!L17</f>
        <v>0</v>
      </c>
      <c r="M17" s="17">
        <f>'[2]2026年度男装数据汇总分析--俄罗斯'!M17</f>
        <v>0</v>
      </c>
      <c r="N17" s="17">
        <f>'[2]2026年度男装数据汇总分析--俄罗斯'!N17</f>
        <v>0</v>
      </c>
      <c r="O17" s="30">
        <f>'[2]2026年度男装数据汇总分析--俄罗斯'!O17</f>
        <v>0</v>
      </c>
    </row>
    <row r="18" s="34" customFormat="1" spans="1:15">
      <c r="A18" s="11">
        <f>'[2]2026年度男装数据汇总分析--俄罗斯'!A18</f>
        <v>0</v>
      </c>
      <c r="B18" s="1" t="str">
        <f>'[2]2026年度男装数据汇总分析--俄罗斯'!B18</f>
        <v>GMV目标</v>
      </c>
      <c r="C18" s="22">
        <f>'[2]2026年度男装数据汇总分析--俄罗斯'!C18</f>
        <v>10045504</v>
      </c>
      <c r="D18" s="22">
        <f>'[2]2026年度男装数据汇总分析--俄罗斯'!D18</f>
        <v>10983920</v>
      </c>
      <c r="E18" s="22">
        <f>'[2]2026年度男装数据汇总分析--俄罗斯'!E18</f>
        <v>10324800</v>
      </c>
      <c r="F18" s="22">
        <f>'[2]2026年度男装数据汇总分析--俄罗斯'!F18</f>
        <v>11127760</v>
      </c>
      <c r="G18" s="22">
        <f>'[2]2026年度男装数据汇总分析--俄罗斯'!G18</f>
        <v>12516000</v>
      </c>
      <c r="H18" s="22">
        <f>'[2]2026年度男装数据汇总分析--俄罗斯'!H18</f>
        <v>13979264</v>
      </c>
      <c r="I18" s="22">
        <f>'[2]2026年度男装数据汇总分析--俄罗斯'!I18</f>
        <v>18703912</v>
      </c>
      <c r="J18" s="22">
        <f>'[2]2026年度男装数据汇总分析--俄罗斯'!J18</f>
        <v>22404000</v>
      </c>
      <c r="K18" s="22">
        <f>'[2]2026年度男装数据汇总分析--俄罗斯'!K18</f>
        <v>25792000</v>
      </c>
      <c r="L18" s="22">
        <f>'[2]2026年度男装数据汇总分析--俄罗斯'!L18</f>
        <v>26016000</v>
      </c>
      <c r="M18" s="22">
        <f>'[2]2026年度男装数据汇总分析--俄罗斯'!M18</f>
        <v>23634400</v>
      </c>
      <c r="N18" s="22">
        <f>'[2]2026年度男装数据汇总分析--俄罗斯'!N18</f>
        <v>16169600</v>
      </c>
      <c r="O18" s="29">
        <f>'[2]2026年度男装数据汇总分析--俄罗斯'!O18</f>
        <v>201697160</v>
      </c>
    </row>
    <row r="19" s="34" customFormat="1" spans="1:15">
      <c r="A19" s="11">
        <f>'[2]2026年度男装数据汇总分析--俄罗斯'!A19</f>
        <v>0</v>
      </c>
      <c r="B19" s="12" t="str">
        <f>'[2]2026年度男装数据汇总分析--俄罗斯'!B19</f>
        <v>GMV完成</v>
      </c>
      <c r="C19" s="23">
        <f>'[2]2026年度男装数据汇总分析--俄罗斯'!C19</f>
        <v>10528129.953</v>
      </c>
      <c r="D19" s="23">
        <f>'[2]2026年度男装数据汇总分析--俄罗斯'!D19</f>
        <v>12913983.5844</v>
      </c>
      <c r="E19" s="23">
        <f>'[2]2026年度男装数据汇总分析--俄罗斯'!E19</f>
        <v>12268567.6984</v>
      </c>
      <c r="F19" s="23">
        <f>'[2]2026年度男装数据汇总分析--俄罗斯'!F19</f>
        <v>13661971.3112</v>
      </c>
      <c r="G19" s="23">
        <f>'[2]2026年度男装数据汇总分析--俄罗斯'!G19</f>
        <v>11545368.1632</v>
      </c>
      <c r="H19" s="23">
        <f>'[2]2026年度男装数据汇总分析--俄罗斯'!H19</f>
        <v>2959137.918</v>
      </c>
      <c r="I19" s="23">
        <f>'[2]2026年度男装数据汇总分析--俄罗斯'!I19</f>
        <v>0</v>
      </c>
      <c r="J19" s="23">
        <f>'[2]2026年度男装数据汇总分析--俄罗斯'!J19</f>
        <v>0</v>
      </c>
      <c r="K19" s="23">
        <f>'[2]2026年度男装数据汇总分析--俄罗斯'!K19</f>
        <v>0</v>
      </c>
      <c r="L19" s="23">
        <f>'[2]2026年度男装数据汇总分析--俄罗斯'!L19</f>
        <v>0</v>
      </c>
      <c r="M19" s="23">
        <f>'[2]2026年度男装数据汇总分析--俄罗斯'!M19</f>
        <v>0</v>
      </c>
      <c r="N19" s="23">
        <f>'[2]2026年度男装数据汇总分析--俄罗斯'!N19</f>
        <v>0</v>
      </c>
      <c r="O19" s="13">
        <f>'[2]2026年度男装数据汇总分析--俄罗斯'!O19</f>
        <v>63877158.6282</v>
      </c>
    </row>
    <row r="20" s="34" customFormat="1" spans="1:15">
      <c r="A20" s="11">
        <f>'[2]2026年度男装数据汇总分析--俄罗斯'!A20</f>
        <v>0</v>
      </c>
      <c r="B20" s="1" t="str">
        <f>'[2]2026年度男装数据汇总分析--俄罗斯'!B20</f>
        <v>GMV完成进度</v>
      </c>
      <c r="C20" s="5">
        <f>'[2]2026年度男装数据汇总分析--俄罗斯'!C20</f>
        <v>1.04804397599165</v>
      </c>
      <c r="D20" s="5">
        <f>'[2]2026年度男装数据汇总分析--俄罗斯'!D20</f>
        <v>1.17571719244131</v>
      </c>
      <c r="E20" s="5">
        <f>'[2]2026年度男装数据汇总分析--俄罗斯'!E20</f>
        <v>1.18826201944832</v>
      </c>
      <c r="F20" s="5">
        <f>'[2]2026年度男装数据汇总分析--俄罗斯'!F20</f>
        <v>1.22773777572485</v>
      </c>
      <c r="G20" s="5">
        <f>'[2]2026年度男装数据汇总分析--俄罗斯'!G20</f>
        <v>0.922448718696069</v>
      </c>
      <c r="H20" s="5">
        <f>'[2]2026年度男装数据汇总分析--俄罗斯'!H20</f>
        <v>0.211680523237847</v>
      </c>
      <c r="I20" s="5">
        <f>'[2]2026年度男装数据汇总分析--俄罗斯'!I20</f>
        <v>0</v>
      </c>
      <c r="J20" s="5">
        <f>'[2]2026年度男装数据汇总分析--俄罗斯'!J20</f>
        <v>0</v>
      </c>
      <c r="K20" s="5">
        <f>'[2]2026年度男装数据汇总分析--俄罗斯'!K20</f>
        <v>0</v>
      </c>
      <c r="L20" s="5">
        <f>'[2]2026年度男装数据汇总分析--俄罗斯'!L20</f>
        <v>0</v>
      </c>
      <c r="M20" s="5">
        <f>'[2]2026年度男装数据汇总分析--俄罗斯'!M20</f>
        <v>0</v>
      </c>
      <c r="N20" s="5">
        <f>'[2]2026年度男装数据汇总分析--俄罗斯'!N20</f>
        <v>0</v>
      </c>
      <c r="O20" s="5">
        <f>'[2]2026年度男装数据汇总分析--俄罗斯'!O20</f>
        <v>0.316698354246535</v>
      </c>
    </row>
    <row r="21" s="34" customFormat="1" spans="1:15">
      <c r="A21" s="11">
        <f>'[2]2026年度男装数据汇总分析--俄罗斯'!A21</f>
        <v>0</v>
      </c>
      <c r="B21" s="16">
        <f>'[2]2026年度男装数据汇总分析--俄罗斯'!B21</f>
        <v>0</v>
      </c>
      <c r="C21" s="17">
        <f>'[2]2026年度男装数据汇总分析--俄罗斯'!C21</f>
        <v>0</v>
      </c>
      <c r="D21" s="17">
        <f>'[2]2026年度男装数据汇总分析--俄罗斯'!D21</f>
        <v>0</v>
      </c>
      <c r="E21" s="17">
        <f>'[2]2026年度男装数据汇总分析--俄罗斯'!E21</f>
        <v>0</v>
      </c>
      <c r="F21" s="17">
        <f>'[2]2026年度男装数据汇总分析--俄罗斯'!F21</f>
        <v>0</v>
      </c>
      <c r="G21" s="17">
        <f>'[2]2026年度男装数据汇总分析--俄罗斯'!G21</f>
        <v>0</v>
      </c>
      <c r="H21" s="17">
        <f>'[2]2026年度男装数据汇总分析--俄罗斯'!H21</f>
        <v>0</v>
      </c>
      <c r="I21" s="17">
        <f>'[2]2026年度男装数据汇总分析--俄罗斯'!I21</f>
        <v>0</v>
      </c>
      <c r="J21" s="17">
        <f>'[2]2026年度男装数据汇总分析--俄罗斯'!J21</f>
        <v>0</v>
      </c>
      <c r="K21" s="17">
        <f>'[2]2026年度男装数据汇总分析--俄罗斯'!K21</f>
        <v>0</v>
      </c>
      <c r="L21" s="17">
        <f>'[2]2026年度男装数据汇总分析--俄罗斯'!L21</f>
        <v>0</v>
      </c>
      <c r="M21" s="17">
        <f>'[2]2026年度男装数据汇总分析--俄罗斯'!M21</f>
        <v>0</v>
      </c>
      <c r="N21" s="17">
        <f>'[2]2026年度男装数据汇总分析--俄罗斯'!N21</f>
        <v>0</v>
      </c>
      <c r="O21" s="30">
        <f>'[2]2026年度男装数据汇总分析--俄罗斯'!O21</f>
        <v>0</v>
      </c>
    </row>
    <row r="22" s="34" customFormat="1" spans="1:15">
      <c r="A22" s="11">
        <f>'[2]2026年度男装数据汇总分析--俄罗斯'!A22</f>
        <v>0</v>
      </c>
      <c r="B22" s="1" t="str">
        <f>'[2]2026年度男装数据汇总分析--俄罗斯'!B22</f>
        <v>GSV目标</v>
      </c>
      <c r="C22" s="22">
        <f>'[2]2026年度男装数据汇总分析--俄罗斯'!C22</f>
        <v>3214561.28</v>
      </c>
      <c r="D22" s="22">
        <f>'[2]2026年度男装数据汇总分析--俄罗斯'!D22</f>
        <v>3514854.4</v>
      </c>
      <c r="E22" s="22">
        <f>'[2]2026年度男装数据汇总分析--俄罗斯'!E22</f>
        <v>3303936</v>
      </c>
      <c r="F22" s="22">
        <f>'[2]2026年度男装数据汇总分析--俄罗斯'!F22</f>
        <v>3560883.2</v>
      </c>
      <c r="G22" s="22">
        <f>'[2]2026年度男装数据汇总分析--俄罗斯'!G22</f>
        <v>4005120</v>
      </c>
      <c r="H22" s="22">
        <f>'[2]2026年度男装数据汇总分析--俄罗斯'!H22</f>
        <v>4473364.48</v>
      </c>
      <c r="I22" s="22">
        <f>'[2]2026年度男装数据汇总分析--俄罗斯'!I22</f>
        <v>5985251.84</v>
      </c>
      <c r="J22" s="22">
        <f>'[2]2026年度男装数据汇总分析--俄罗斯'!J22</f>
        <v>7169280</v>
      </c>
      <c r="K22" s="22">
        <f>'[2]2026年度男装数据汇总分析--俄罗斯'!K22</f>
        <v>8253440</v>
      </c>
      <c r="L22" s="22">
        <f>'[2]2026年度男装数据汇总分析--俄罗斯'!L22</f>
        <v>8325120</v>
      </c>
      <c r="M22" s="22">
        <f>'[2]2026年度男装数据汇总分析--俄罗斯'!M22</f>
        <v>7563008</v>
      </c>
      <c r="N22" s="22">
        <f>'[2]2026年度男装数据汇总分析--俄罗斯'!N22</f>
        <v>5174272</v>
      </c>
      <c r="O22" s="29">
        <f>'[2]2026年度男装数据汇总分析--俄罗斯'!O22</f>
        <v>64543091.2</v>
      </c>
    </row>
    <row r="23" s="34" customFormat="1" spans="1:15">
      <c r="A23" s="11">
        <f>'[2]2026年度男装数据汇总分析--俄罗斯'!A23</f>
        <v>0</v>
      </c>
      <c r="B23" s="12" t="str">
        <f>'[2]2026年度男装数据汇总分析--俄罗斯'!B23</f>
        <v>GSV完成</v>
      </c>
      <c r="C23" s="23">
        <f>'[2]2026年度男装数据汇总分析--俄罗斯'!C23</f>
        <v>3945601.24</v>
      </c>
      <c r="D23" s="23">
        <f>'[2]2026年度男装数据汇总分析--俄罗斯'!D23</f>
        <v>4001011.09</v>
      </c>
      <c r="E23" s="23">
        <f>'[2]2026年度男装数据汇总分析--俄罗斯'!E23</f>
        <v>4113119.79</v>
      </c>
      <c r="F23" s="23">
        <f>'[2]2026年度男装数据汇总分析--俄罗斯'!F23</f>
        <v>4382797.99</v>
      </c>
      <c r="G23" s="23">
        <f>'[2]2026年度男装数据汇总分析--俄罗斯'!G23</f>
        <v>3503371.5464</v>
      </c>
      <c r="H23" s="23">
        <f>'[2]2026年度男装数据汇总分析--俄罗斯'!H23</f>
        <v>889801.365</v>
      </c>
      <c r="I23" s="23">
        <f>'[2]2026年度男装数据汇总分析--俄罗斯'!I23</f>
        <v>0</v>
      </c>
      <c r="J23" s="23">
        <f>'[2]2026年度男装数据汇总分析--俄罗斯'!J23</f>
        <v>0</v>
      </c>
      <c r="K23" s="23">
        <f>'[2]2026年度男装数据汇总分析--俄罗斯'!K23</f>
        <v>0</v>
      </c>
      <c r="L23" s="23">
        <f>'[2]2026年度男装数据汇总分析--俄罗斯'!L23</f>
        <v>0</v>
      </c>
      <c r="M23" s="23">
        <f>'[2]2026年度男装数据汇总分析--俄罗斯'!M23</f>
        <v>0</v>
      </c>
      <c r="N23" s="23">
        <f>'[2]2026年度男装数据汇总分析--俄罗斯'!N23</f>
        <v>0</v>
      </c>
      <c r="O23" s="13">
        <f>'[2]2026年度男装数据汇总分析--俄罗斯'!O23</f>
        <v>20835703.0214</v>
      </c>
    </row>
    <row r="24" s="34" customFormat="1" spans="1:15">
      <c r="A24" s="11">
        <f>'[2]2026年度男装数据汇总分析--俄罗斯'!A24</f>
        <v>0</v>
      </c>
      <c r="B24" s="1" t="str">
        <f>'[2]2026年度男装数据汇总分析--俄罗斯'!B24</f>
        <v>GSV完成进度</v>
      </c>
      <c r="C24" s="5">
        <f>'[2]2026年度男装数据汇总分析--俄罗斯'!C24</f>
        <v>1.22741515756701</v>
      </c>
      <c r="D24" s="5">
        <f>'[2]2026年度男装数据汇总分析--俄罗斯'!D24</f>
        <v>1.13831488723971</v>
      </c>
      <c r="E24" s="5">
        <f>'[2]2026年度男装数据汇总分析--俄罗斯'!E24</f>
        <v>1.24491509218096</v>
      </c>
      <c r="F24" s="5">
        <f>'[2]2026年度男装数据汇总分析--俄罗斯'!F24</f>
        <v>1.23081767747956</v>
      </c>
      <c r="G24" s="5">
        <f>'[2]2026年度男装数据汇总分析--俄罗斯'!G24</f>
        <v>0.874723240851709</v>
      </c>
      <c r="H24" s="5">
        <f>'[2]2026年度男装数据汇总分析--俄罗斯'!H24</f>
        <v>0.198910991710651</v>
      </c>
      <c r="I24" s="5">
        <f>'[2]2026年度男装数据汇总分析--俄罗斯'!I24</f>
        <v>0</v>
      </c>
      <c r="J24" s="5">
        <f>'[2]2026年度男装数据汇总分析--俄罗斯'!J24</f>
        <v>0</v>
      </c>
      <c r="K24" s="5">
        <f>'[2]2026年度男装数据汇总分析--俄罗斯'!K24</f>
        <v>0</v>
      </c>
      <c r="L24" s="5">
        <f>'[2]2026年度男装数据汇总分析--俄罗斯'!L24</f>
        <v>0</v>
      </c>
      <c r="M24" s="5">
        <f>'[2]2026年度男装数据汇总分析--俄罗斯'!M24</f>
        <v>0</v>
      </c>
      <c r="N24" s="5">
        <f>'[2]2026年度男装数据汇总分析--俄罗斯'!N24</f>
        <v>0</v>
      </c>
      <c r="O24" s="5">
        <f>'[2]2026年度男装数据汇总分析--俄罗斯'!O24</f>
        <v>0.32281848659582</v>
      </c>
    </row>
    <row r="25" s="34" customFormat="1" spans="1:15">
      <c r="A25" s="11">
        <f>'[2]2026年度男装数据汇总分析--俄罗斯'!A25</f>
        <v>0</v>
      </c>
      <c r="B25" s="16">
        <f>'[2]2026年度男装数据汇总分析--俄罗斯'!B25</f>
        <v>0</v>
      </c>
      <c r="C25" s="17">
        <f>'[2]2026年度男装数据汇总分析--俄罗斯'!C25</f>
        <v>0</v>
      </c>
      <c r="D25" s="17">
        <f>'[2]2026年度男装数据汇总分析--俄罗斯'!D25</f>
        <v>0</v>
      </c>
      <c r="E25" s="17">
        <f>'[2]2026年度男装数据汇总分析--俄罗斯'!E25</f>
        <v>0</v>
      </c>
      <c r="F25" s="17">
        <f>'[2]2026年度男装数据汇总分析--俄罗斯'!F25</f>
        <v>0</v>
      </c>
      <c r="G25" s="17">
        <f>'[2]2026年度男装数据汇总分析--俄罗斯'!G25</f>
        <v>0</v>
      </c>
      <c r="H25" s="17">
        <f>'[2]2026年度男装数据汇总分析--俄罗斯'!H25</f>
        <v>0</v>
      </c>
      <c r="I25" s="17">
        <f>'[2]2026年度男装数据汇总分析--俄罗斯'!I25</f>
        <v>0</v>
      </c>
      <c r="J25" s="17">
        <f>'[2]2026年度男装数据汇总分析--俄罗斯'!J25</f>
        <v>0</v>
      </c>
      <c r="K25" s="17">
        <f>'[2]2026年度男装数据汇总分析--俄罗斯'!K25</f>
        <v>0</v>
      </c>
      <c r="L25" s="17">
        <f>'[2]2026年度男装数据汇总分析--俄罗斯'!L25</f>
        <v>0</v>
      </c>
      <c r="M25" s="17">
        <f>'[2]2026年度男装数据汇总分析--俄罗斯'!M25</f>
        <v>0</v>
      </c>
      <c r="N25" s="17">
        <f>'[2]2026年度男装数据汇总分析--俄罗斯'!N25</f>
        <v>0</v>
      </c>
      <c r="O25" s="30">
        <f>'[2]2026年度男装数据汇总分析--俄罗斯'!O25</f>
        <v>0</v>
      </c>
    </row>
    <row r="26" s="34" customFormat="1" spans="1:15">
      <c r="A26" s="11">
        <f>'[2]2026年度男装数据汇总分析--俄罗斯'!A26</f>
        <v>0</v>
      </c>
      <c r="B26" s="1" t="str">
        <f>'[2]2026年度男装数据汇总分析--俄罗斯'!B26</f>
        <v>退款率</v>
      </c>
      <c r="C26" s="5">
        <f>'[2]2026年度男装数据汇总分析--俄罗斯'!C26</f>
        <v>0.374767528289836</v>
      </c>
      <c r="D26" s="5">
        <f>'[2]2026年度男装数据汇总分析--俄罗斯'!D26</f>
        <v>0.309820053885866</v>
      </c>
      <c r="E26" s="5">
        <f>'[2]2026年度男装数据汇总分析--俄罗斯'!E26</f>
        <v>0.335256721983644</v>
      </c>
      <c r="F26" s="5">
        <f>'[2]2026年度男装数据汇总分析--俄罗斯'!F26</f>
        <v>0.320802751679548</v>
      </c>
      <c r="G26" s="5">
        <f>'[2]2026年度男装数据汇总分析--俄罗斯'!G26</f>
        <v>0.30344390034843</v>
      </c>
      <c r="H26" s="5">
        <f>'[2]2026年度男装数据汇总分析--俄罗斯'!H26</f>
        <v>0.300696145180483</v>
      </c>
      <c r="I26" s="5" t="e">
        <f>'[2]2026年度男装数据汇总分析--俄罗斯'!I26</f>
        <v>#DIV/0!</v>
      </c>
      <c r="J26" s="5" t="e">
        <f>'[2]2026年度男装数据汇总分析--俄罗斯'!J26</f>
        <v>#DIV/0!</v>
      </c>
      <c r="K26" s="5" t="e">
        <f>'[2]2026年度男装数据汇总分析--俄罗斯'!K26</f>
        <v>#DIV/0!</v>
      </c>
      <c r="L26" s="5" t="e">
        <f>'[2]2026年度男装数据汇总分析--俄罗斯'!L26</f>
        <v>#DIV/0!</v>
      </c>
      <c r="M26" s="5" t="e">
        <f>'[2]2026年度男装数据汇总分析--俄罗斯'!M26</f>
        <v>#DIV/0!</v>
      </c>
      <c r="N26" s="5" t="e">
        <f>'[2]2026年度男装数据汇总分析--俄罗斯'!N26</f>
        <v>#DIV/0!</v>
      </c>
      <c r="O26" s="5">
        <f>'[2]2026年度男装数据汇总分析--俄罗斯'!O26</f>
        <v>0.32618393599307</v>
      </c>
    </row>
    <row r="27" s="34" customFormat="1" spans="1:15">
      <c r="A27" s="11">
        <f>'[2]2026年度男装数据汇总分析--俄罗斯'!A27</f>
        <v>0</v>
      </c>
      <c r="B27" s="1" t="str">
        <f>'[2]2026年度男装数据汇总分析--俄罗斯'!B27</f>
        <v>退货率</v>
      </c>
      <c r="C27" s="5">
        <f>'[2]2026年度男装数据汇总分析--俄罗斯'!C27</f>
        <v>0.659377093101139</v>
      </c>
      <c r="D27" s="5">
        <f>'[2]2026年度男装数据汇总分析--俄罗斯'!D27</f>
        <v>0.643808235185584</v>
      </c>
      <c r="E27" s="5">
        <f>'[2]2026年度男装数据汇总分析--俄罗斯'!E27</f>
        <v>0.630226746312325</v>
      </c>
      <c r="F27" s="5">
        <f>'[2]2026年度男装数据汇总分析--俄罗斯'!F27</f>
        <v>0.639861587602035</v>
      </c>
      <c r="G27" s="5">
        <f>'[2]2026年度男装数据汇总分析--俄罗斯'!G27</f>
        <v>0.653048256270325</v>
      </c>
      <c r="H27" s="5">
        <f>'[2]2026年度男装数据汇总分析--俄罗斯'!H27</f>
        <v>0.646744480382506</v>
      </c>
      <c r="I27" s="5" t="e">
        <f>'[2]2026年度男装数据汇总分析--俄罗斯'!I27</f>
        <v>#DIV/0!</v>
      </c>
      <c r="J27" s="5" t="e">
        <f>'[2]2026年度男装数据汇总分析--俄罗斯'!J27</f>
        <v>#DIV/0!</v>
      </c>
      <c r="K27" s="5" t="e">
        <f>'[2]2026年度男装数据汇总分析--俄罗斯'!K27</f>
        <v>#DIV/0!</v>
      </c>
      <c r="L27" s="5" t="e">
        <f>'[2]2026年度男装数据汇总分析--俄罗斯'!L27</f>
        <v>#DIV/0!</v>
      </c>
      <c r="M27" s="5" t="e">
        <f>'[2]2026年度男装数据汇总分析--俄罗斯'!M27</f>
        <v>#DIV/0!</v>
      </c>
      <c r="N27" s="5" t="e">
        <f>'[2]2026年度男装数据汇总分析--俄罗斯'!N27</f>
        <v>#DIV/0!</v>
      </c>
      <c r="O27" s="5">
        <f>'[2]2026年度男装数据汇总分析--俄罗斯'!O27</f>
        <v>0.644753080734587</v>
      </c>
    </row>
    <row r="28" s="34" customFormat="1" spans="1:15">
      <c r="A28" s="11">
        <f>'[2]2026年度男装数据汇总分析--俄罗斯'!A28</f>
        <v>0</v>
      </c>
      <c r="B28" s="1" t="str">
        <f>'[2]2026年度男装数据汇总分析--俄罗斯'!B28</f>
        <v>利润率</v>
      </c>
      <c r="C28" s="5">
        <f>'[2]2026年度男装数据汇总分析--俄罗斯'!C28</f>
        <v>0.145234504234898</v>
      </c>
      <c r="D28" s="5">
        <f>'[2]2026年度男装数据汇总分析--俄罗斯'!D28</f>
        <v>0.161718384539644</v>
      </c>
      <c r="E28" s="5">
        <f>'[2]2026年度男装数据汇总分析--俄罗斯'!E28</f>
        <v>0.143925781456513</v>
      </c>
      <c r="F28" s="5">
        <f>'[2]2026年度男装数据汇总分析--俄罗斯'!F28</f>
        <v>0.161253017276299</v>
      </c>
      <c r="G28" s="5">
        <f>'[2]2026年度男装数据汇总分析--俄罗斯'!G28</f>
        <v>0.16938581938584</v>
      </c>
      <c r="H28" s="5">
        <f>'[2]2026年度男装数据汇总分析--俄罗斯'!H28</f>
        <v>0.180681280478818</v>
      </c>
      <c r="I28" s="5" t="e">
        <f>'[2]2026年度男装数据汇总分析--俄罗斯'!I28</f>
        <v>#DIV/0!</v>
      </c>
      <c r="J28" s="5" t="e">
        <f>'[2]2026年度男装数据汇总分析--俄罗斯'!J28</f>
        <v>#DIV/0!</v>
      </c>
      <c r="K28" s="5" t="e">
        <f>'[2]2026年度男装数据汇总分析--俄罗斯'!K28</f>
        <v>#DIV/0!</v>
      </c>
      <c r="L28" s="5" t="e">
        <f>'[2]2026年度男装数据汇总分析--俄罗斯'!L28</f>
        <v>#DIV/0!</v>
      </c>
      <c r="M28" s="5" t="e">
        <f>'[2]2026年度男装数据汇总分析--俄罗斯'!M28</f>
        <v>#DIV/0!</v>
      </c>
      <c r="N28" s="5" t="e">
        <f>'[2]2026年度男装数据汇总分析--俄罗斯'!N28</f>
        <v>#DIV/0!</v>
      </c>
      <c r="O28" s="5">
        <f>'[2]2026年度男装数据汇总分析--俄罗斯'!O28</f>
        <v>0.157085641729409</v>
      </c>
    </row>
    <row r="29" s="34" customFormat="1" spans="1:15">
      <c r="A29" s="24">
        <f>'[2]2026年度男装数据汇总分析--俄罗斯'!A29</f>
        <v>0</v>
      </c>
      <c r="B29" s="16">
        <f>'[2]2026年度男装数据汇总分析--俄罗斯'!B29</f>
        <v>0</v>
      </c>
      <c r="C29" s="17">
        <f>'[2]2026年度男装数据汇总分析--俄罗斯'!C29</f>
        <v>0</v>
      </c>
      <c r="D29" s="17">
        <f>'[2]2026年度男装数据汇总分析--俄罗斯'!D29</f>
        <v>0</v>
      </c>
      <c r="E29" s="17">
        <f>'[2]2026年度男装数据汇总分析--俄罗斯'!E29</f>
        <v>0</v>
      </c>
      <c r="F29" s="17">
        <f>'[2]2026年度男装数据汇总分析--俄罗斯'!F29</f>
        <v>0</v>
      </c>
      <c r="G29" s="17">
        <f>'[2]2026年度男装数据汇总分析--俄罗斯'!G29</f>
        <v>0</v>
      </c>
      <c r="H29" s="17">
        <f>'[2]2026年度男装数据汇总分析--俄罗斯'!H29</f>
        <v>0</v>
      </c>
      <c r="I29" s="17">
        <f>'[2]2026年度男装数据汇总分析--俄罗斯'!I29</f>
        <v>0</v>
      </c>
      <c r="J29" s="17">
        <f>'[2]2026年度男装数据汇总分析--俄罗斯'!J29</f>
        <v>0</v>
      </c>
      <c r="K29" s="17">
        <f>'[2]2026年度男装数据汇总分析--俄罗斯'!K29</f>
        <v>0</v>
      </c>
      <c r="L29" s="17">
        <f>'[2]2026年度男装数据汇总分析--俄罗斯'!L29</f>
        <v>0</v>
      </c>
      <c r="M29" s="17">
        <f>'[2]2026年度男装数据汇总分析--俄罗斯'!M29</f>
        <v>0</v>
      </c>
      <c r="N29" s="17">
        <f>'[2]2026年度男装数据汇总分析--俄罗斯'!N29</f>
        <v>0</v>
      </c>
      <c r="O29" s="30">
        <f>'[2]2026年度男装数据汇总分析--俄罗斯'!O29</f>
        <v>0</v>
      </c>
    </row>
    <row r="30" s="34" customFormat="1" spans="1:15">
      <c r="A30" s="8" t="str">
        <f>'[2]2026年度男装数据汇总分析--俄罗斯'!A30</f>
        <v>MYTF1店</v>
      </c>
      <c r="B30" s="22" t="str">
        <f>'[2]2026年度男装数据汇总分析--俄罗斯'!B30</f>
        <v>实际利润（人民币）</v>
      </c>
      <c r="C30" s="22">
        <f>'[2]2026年度男装数据汇总分析--俄罗斯'!C30</f>
        <v>390688.84</v>
      </c>
      <c r="D30" s="22">
        <f>'[2]2026年度男装数据汇总分析--俄罗斯'!D30</f>
        <v>444406.63</v>
      </c>
      <c r="E30" s="22">
        <f>'[2]2026年度男装数据汇总分析--俄罗斯'!E30</f>
        <v>359029.21</v>
      </c>
      <c r="F30" s="22">
        <f>'[2]2026年度男装数据汇总分析--俄罗斯'!F30</f>
        <v>364348.74</v>
      </c>
      <c r="G30" s="22">
        <f>'[2]2026年度男装数据汇总分析--俄罗斯'!G30</f>
        <v>213687.24</v>
      </c>
      <c r="H30" s="22">
        <f>'[2]2026年度男装数据汇总分析--俄罗斯'!H30</f>
        <v>52764.41</v>
      </c>
      <c r="I30" s="22">
        <f>'[2]2026年度男装数据汇总分析--俄罗斯'!I30</f>
        <v>0</v>
      </c>
      <c r="J30" s="22">
        <f>'[2]2026年度男装数据汇总分析--俄罗斯'!J30</f>
        <v>0</v>
      </c>
      <c r="K30" s="22">
        <f>'[2]2026年度男装数据汇总分析--俄罗斯'!K30</f>
        <v>0</v>
      </c>
      <c r="L30" s="22">
        <f>'[2]2026年度男装数据汇总分析--俄罗斯'!L30</f>
        <v>0</v>
      </c>
      <c r="M30" s="22">
        <f>'[2]2026年度男装数据汇总分析--俄罗斯'!M30</f>
        <v>0</v>
      </c>
      <c r="N30" s="22">
        <f>'[2]2026年度男装数据汇总分析--俄罗斯'!N30</f>
        <v>0</v>
      </c>
      <c r="O30" s="22">
        <f>'[2]2026年度男装数据汇总分析--俄罗斯'!O30</f>
        <v>1824925.07</v>
      </c>
    </row>
    <row r="31" s="34" customFormat="1" spans="1:15">
      <c r="A31" s="11">
        <f>'[2]2026年度男装数据汇总分析--俄罗斯'!A31</f>
        <v>0</v>
      </c>
      <c r="B31" s="1" t="str">
        <f>'[2]2026年度男装数据汇总分析--俄罗斯'!B31</f>
        <v>销量完成</v>
      </c>
      <c r="C31" s="1">
        <f>'[2]2026年度男装数据汇总分析--俄罗斯'!C31</f>
        <v>14746</v>
      </c>
      <c r="D31" s="1">
        <f>'[2]2026年度男装数据汇总分析--俄罗斯'!D31</f>
        <v>17117</v>
      </c>
      <c r="E31" s="1">
        <f>'[2]2026年度男装数据汇总分析--俄罗斯'!E31</f>
        <v>16800</v>
      </c>
      <c r="F31" s="1">
        <f>'[2]2026年度男装数据汇总分析--俄罗斯'!F31</f>
        <v>17188</v>
      </c>
      <c r="G31" s="1">
        <f>'[2]2026年度男装数据汇总分析--俄罗斯'!G31</f>
        <v>10453</v>
      </c>
      <c r="H31" s="1">
        <f>'[2]2026年度男装数据汇总分析--俄罗斯'!H31</f>
        <v>2716</v>
      </c>
      <c r="I31" s="1">
        <f>'[2]2026年度男装数据汇总分析--俄罗斯'!I31</f>
        <v>0</v>
      </c>
      <c r="J31" s="1">
        <f>'[2]2026年度男装数据汇总分析--俄罗斯'!J31</f>
        <v>0</v>
      </c>
      <c r="K31" s="1">
        <f>'[2]2026年度男装数据汇总分析--俄罗斯'!K31</f>
        <v>0</v>
      </c>
      <c r="L31" s="1">
        <f>'[2]2026年度男装数据汇总分析--俄罗斯'!L31</f>
        <v>0</v>
      </c>
      <c r="M31" s="1">
        <f>'[2]2026年度男装数据汇总分析--俄罗斯'!M31</f>
        <v>0</v>
      </c>
      <c r="N31" s="1">
        <f>'[2]2026年度男装数据汇总分析--俄罗斯'!N31</f>
        <v>0</v>
      </c>
      <c r="O31" s="1">
        <f>'[2]2026年度男装数据汇总分析--俄罗斯'!O31</f>
        <v>79020</v>
      </c>
    </row>
    <row r="32" s="34" customFormat="1" spans="1:15">
      <c r="A32" s="11">
        <f>'[2]2026年度男装数据汇总分析--俄罗斯'!A32</f>
        <v>0</v>
      </c>
      <c r="B32" s="1" t="str">
        <f>'[2]2026年度男装数据汇总分析--俄罗斯'!B32</f>
        <v>实销完成</v>
      </c>
      <c r="C32" s="1">
        <f>'[2]2026年度男装数据汇总分析--俄罗斯'!C32</f>
        <v>5079</v>
      </c>
      <c r="D32" s="1">
        <f>'[2]2026年度男装数据汇总分析--俄罗斯'!D32</f>
        <v>6543</v>
      </c>
      <c r="E32" s="1">
        <f>'[2]2026年度男装数据汇总分析--俄罗斯'!E32</f>
        <v>6518</v>
      </c>
      <c r="F32" s="1">
        <f>'[2]2026年度男装数据汇总分析--俄罗斯'!F32</f>
        <v>6412</v>
      </c>
      <c r="G32" s="1">
        <f>'[2]2026年度男装数据汇总分析--俄罗斯'!G32</f>
        <v>3602</v>
      </c>
      <c r="H32" s="1">
        <f>'[2]2026年度男装数据汇总分析--俄罗斯'!H32</f>
        <v>915</v>
      </c>
      <c r="I32" s="1">
        <f>'[2]2026年度男装数据汇总分析--俄罗斯'!I32</f>
        <v>0</v>
      </c>
      <c r="J32" s="1">
        <f>'[2]2026年度男装数据汇总分析--俄罗斯'!J32</f>
        <v>0</v>
      </c>
      <c r="K32" s="1">
        <f>'[2]2026年度男装数据汇总分析--俄罗斯'!K32</f>
        <v>0</v>
      </c>
      <c r="L32" s="1">
        <f>'[2]2026年度男装数据汇总分析--俄罗斯'!L32</f>
        <v>0</v>
      </c>
      <c r="M32" s="1">
        <f>'[2]2026年度男装数据汇总分析--俄罗斯'!M32</f>
        <v>0</v>
      </c>
      <c r="N32" s="1">
        <f>'[2]2026年度男装数据汇总分析--俄罗斯'!N32</f>
        <v>0</v>
      </c>
      <c r="O32" s="1">
        <f>'[2]2026年度男装数据汇总分析--俄罗斯'!O32</f>
        <v>29069</v>
      </c>
    </row>
    <row r="33" s="34" customFormat="1" spans="1:15">
      <c r="A33" s="11">
        <f>'[2]2026年度男装数据汇总分析--俄罗斯'!A33</f>
        <v>0</v>
      </c>
      <c r="B33" s="22" t="str">
        <f>'[2]2026年度男装数据汇总分析--俄罗斯'!B33</f>
        <v>GMV完成</v>
      </c>
      <c r="C33" s="22">
        <f>'[2]2026年度男装数据汇总分析--俄罗斯'!C33</f>
        <v>5667565.2858</v>
      </c>
      <c r="D33" s="22">
        <f>'[2]2026年度男装数据汇总分析--俄罗斯'!D33</f>
        <v>7760834.8667</v>
      </c>
      <c r="E33" s="22">
        <f>'[2]2026年度男装数据汇总分析--俄罗斯'!E33</f>
        <v>6430144.456</v>
      </c>
      <c r="F33" s="22">
        <f>'[2]2026年度男装数据汇总分析--俄罗斯'!F33</f>
        <v>7017450.9096</v>
      </c>
      <c r="G33" s="22">
        <f>'[2]2026年度男装数据汇总分析--俄罗斯'!G33</f>
        <v>4439731.0488</v>
      </c>
      <c r="H33" s="22">
        <f>'[2]2026年度男装数据汇总分析--俄罗斯'!H33</f>
        <v>1166305.44</v>
      </c>
      <c r="I33" s="22">
        <f>'[2]2026年度男装数据汇总分析--俄罗斯'!I33</f>
        <v>0</v>
      </c>
      <c r="J33" s="22">
        <f>'[2]2026年度男装数据汇总分析--俄罗斯'!J33</f>
        <v>0</v>
      </c>
      <c r="K33" s="22">
        <f>'[2]2026年度男装数据汇总分析--俄罗斯'!K33</f>
        <v>0</v>
      </c>
      <c r="L33" s="22">
        <f>'[2]2026年度男装数据汇总分析--俄罗斯'!L33</f>
        <v>0</v>
      </c>
      <c r="M33" s="22">
        <f>'[2]2026年度男装数据汇总分析--俄罗斯'!M33</f>
        <v>0</v>
      </c>
      <c r="N33" s="22">
        <f>'[2]2026年度男装数据汇总分析--俄罗斯'!N33</f>
        <v>0</v>
      </c>
      <c r="O33" s="22">
        <f>'[2]2026年度男装数据汇总分析--俄罗斯'!O33</f>
        <v>32482032.0069</v>
      </c>
    </row>
    <row r="34" s="34" customFormat="1" spans="1:15">
      <c r="A34" s="11">
        <f>'[2]2026年度男装数据汇总分析--俄罗斯'!A34</f>
        <v>0</v>
      </c>
      <c r="B34" s="22" t="str">
        <f>'[2]2026年度男装数据汇总分析--俄罗斯'!B34</f>
        <v>GSV完成</v>
      </c>
      <c r="C34" s="22">
        <f>'[2]2026年度男装数据汇总分析--俄罗斯'!C34</f>
        <v>1999604.73</v>
      </c>
      <c r="D34" s="22">
        <f>'[2]2026年度男装数据汇总分析--俄罗斯'!D34</f>
        <v>2367138.83</v>
      </c>
      <c r="E34" s="22">
        <f>'[2]2026年度男装数据汇总分析--俄罗斯'!E34</f>
        <v>2265862.28</v>
      </c>
      <c r="F34" s="22">
        <f>'[2]2026年度男装数据汇总分析--俄罗斯'!F34</f>
        <v>2348681.79</v>
      </c>
      <c r="G34" s="22">
        <f>'[2]2026年度男装数据汇总分析--俄罗斯'!G34</f>
        <v>1407371.462</v>
      </c>
      <c r="H34" s="22">
        <f>'[2]2026年度男装数据汇总分析--俄罗斯'!H34</f>
        <v>336024.4174</v>
      </c>
      <c r="I34" s="22">
        <f>'[2]2026年度男装数据汇总分析--俄罗斯'!I34</f>
        <v>0</v>
      </c>
      <c r="J34" s="22">
        <f>'[2]2026年度男装数据汇总分析--俄罗斯'!J34</f>
        <v>0</v>
      </c>
      <c r="K34" s="22">
        <f>'[2]2026年度男装数据汇总分析--俄罗斯'!K34</f>
        <v>0</v>
      </c>
      <c r="L34" s="22">
        <f>'[2]2026年度男装数据汇总分析--俄罗斯'!L34</f>
        <v>0</v>
      </c>
      <c r="M34" s="22">
        <f>'[2]2026年度男装数据汇总分析--俄罗斯'!M34</f>
        <v>0</v>
      </c>
      <c r="N34" s="22">
        <f>'[2]2026年度男装数据汇总分析--俄罗斯'!N34</f>
        <v>0</v>
      </c>
      <c r="O34" s="22">
        <f>'[2]2026年度男装数据汇总分析--俄罗斯'!O34</f>
        <v>10724683.5094</v>
      </c>
    </row>
    <row r="35" s="34" customFormat="1" spans="1:15">
      <c r="A35" s="11">
        <f>'[2]2026年度男装数据汇总分析--俄罗斯'!A35</f>
        <v>0</v>
      </c>
      <c r="B35" s="1" t="str">
        <f>'[2]2026年度男装数据汇总分析--俄罗斯'!B35</f>
        <v>退款率</v>
      </c>
      <c r="C35" s="5">
        <f>'[2]2026年度男装数据汇总分析--俄罗斯'!C35</f>
        <v>0.352815473517346</v>
      </c>
      <c r="D35" s="5">
        <f>'[2]2026年度男装数据汇总分析--俄罗斯'!D35</f>
        <v>0.305010848788558</v>
      </c>
      <c r="E35" s="5">
        <f>'[2]2026年度男装数据汇总分析--俄罗斯'!E35</f>
        <v>0.352381240500081</v>
      </c>
      <c r="F35" s="5">
        <f>'[2]2026年度男装数据汇总分析--俄罗斯'!F35</f>
        <v>0.334691588192938</v>
      </c>
      <c r="G35" s="5">
        <f>'[2]2026年度男装数据汇总分析--俄罗斯'!G35</f>
        <v>0.316994756333358</v>
      </c>
      <c r="H35" s="5">
        <f>'[2]2026年度男装数据汇总分析--俄罗斯'!H35</f>
        <v>0.288110134683072</v>
      </c>
      <c r="I35" s="5" t="e">
        <f>'[2]2026年度男装数据汇总分析--俄罗斯'!I35</f>
        <v>#DIV/0!</v>
      </c>
      <c r="J35" s="5" t="e">
        <f>'[2]2026年度男装数据汇总分析--俄罗斯'!J35</f>
        <v>#DIV/0!</v>
      </c>
      <c r="K35" s="5" t="e">
        <f>'[2]2026年度男装数据汇总分析--俄罗斯'!K35</f>
        <v>#DIV/0!</v>
      </c>
      <c r="L35" s="5" t="e">
        <f>'[2]2026年度男装数据汇总分析--俄罗斯'!L35</f>
        <v>#DIV/0!</v>
      </c>
      <c r="M35" s="5" t="e">
        <f>'[2]2026年度男装数据汇总分析--俄罗斯'!M35</f>
        <v>#DIV/0!</v>
      </c>
      <c r="N35" s="5" t="e">
        <f>'[2]2026年度男装数据汇总分析--俄罗斯'!N35</f>
        <v>#DIV/0!</v>
      </c>
      <c r="O35" s="5">
        <f>'[2]2026年度男装数据汇总分析--俄罗斯'!O35</f>
        <v>0.330172801600645</v>
      </c>
    </row>
    <row r="36" s="34" customFormat="1" spans="1:15">
      <c r="A36" s="11">
        <f>'[2]2026年度男装数据汇总分析--俄罗斯'!A36</f>
        <v>0</v>
      </c>
      <c r="B36" s="1" t="str">
        <f>'[2]2026年度男装数据汇总分析--俄罗斯'!B36</f>
        <v>退货率</v>
      </c>
      <c r="C36" s="5">
        <f>'[2]2026年度男装数据汇总分析--俄罗斯'!C36</f>
        <v>0.655567611555676</v>
      </c>
      <c r="D36" s="5">
        <f>'[2]2026年度男装数据汇总分析--俄罗斯'!D36</f>
        <v>0.617748437226149</v>
      </c>
      <c r="E36" s="5">
        <f>'[2]2026年度男装数据汇总分析--俄罗斯'!E36</f>
        <v>0.61202380952381</v>
      </c>
      <c r="F36" s="5">
        <f>'[2]2026年度男装数据汇总分析--俄罗斯'!F36</f>
        <v>0.626949034209914</v>
      </c>
      <c r="G36" s="5">
        <f>'[2]2026年度男装数据汇总分析--俄罗斯'!G36</f>
        <v>0.655409930163589</v>
      </c>
      <c r="H36" s="5">
        <f>'[2]2026年度男装数据汇总分析--俄罗斯'!H36</f>
        <v>0.663107511045655</v>
      </c>
      <c r="I36" s="5" t="e">
        <f>'[2]2026年度男装数据汇总分析--俄罗斯'!I36</f>
        <v>#DIV/0!</v>
      </c>
      <c r="J36" s="5" t="e">
        <f>'[2]2026年度男装数据汇总分析--俄罗斯'!J36</f>
        <v>#DIV/0!</v>
      </c>
      <c r="K36" s="5" t="e">
        <f>'[2]2026年度男装数据汇总分析--俄罗斯'!K36</f>
        <v>#DIV/0!</v>
      </c>
      <c r="L36" s="5" t="e">
        <f>'[2]2026年度男装数据汇总分析--俄罗斯'!L36</f>
        <v>#DIV/0!</v>
      </c>
      <c r="M36" s="5" t="e">
        <f>'[2]2026年度男装数据汇总分析--俄罗斯'!M36</f>
        <v>#DIV/0!</v>
      </c>
      <c r="N36" s="5" t="e">
        <f>'[2]2026年度男装数据汇总分析--俄罗斯'!N36</f>
        <v>#DIV/0!</v>
      </c>
      <c r="O36" s="5">
        <f>'[2]2026年度男装数据汇总分析--俄罗斯'!O36</f>
        <v>0.632131106049101</v>
      </c>
    </row>
    <row r="37" s="34" customFormat="1" spans="1:15">
      <c r="A37" s="24">
        <f>'[2]2026年度男装数据汇总分析--俄罗斯'!A37</f>
        <v>0</v>
      </c>
      <c r="B37" s="1" t="str">
        <f>'[2]2026年度男装数据汇总分析--俄罗斯'!B37</f>
        <v>利润率</v>
      </c>
      <c r="C37" s="5">
        <f>'[2]2026年度男装数据汇总分析--俄罗斯'!C37</f>
        <v>0.195383034526029</v>
      </c>
      <c r="D37" s="5">
        <f>'[2]2026年度男装数据汇总分析--俄罗斯'!D37</f>
        <v>0.18773999410926</v>
      </c>
      <c r="E37" s="5">
        <f>'[2]2026年度男装数据汇总分析--俄罗斯'!E37</f>
        <v>0.158451470404459</v>
      </c>
      <c r="F37" s="5">
        <f>'[2]2026年度男装数据汇总分析--俄罗斯'!F37</f>
        <v>0.155129035168276</v>
      </c>
      <c r="G37" s="5">
        <f>'[2]2026年度男装数据汇总分析--俄罗斯'!G37</f>
        <v>0.15183428524004</v>
      </c>
      <c r="H37" s="5">
        <f>'[2]2026年度男装数据汇总分析--俄罗斯'!H37</f>
        <v>0.157025523348173</v>
      </c>
      <c r="I37" s="5" t="e">
        <f>'[2]2026年度男装数据汇总分析--俄罗斯'!I37</f>
        <v>#DIV/0!</v>
      </c>
      <c r="J37" s="5" t="e">
        <f>'[2]2026年度男装数据汇总分析--俄罗斯'!J37</f>
        <v>#DIV/0!</v>
      </c>
      <c r="K37" s="5" t="e">
        <f>'[2]2026年度男装数据汇总分析--俄罗斯'!K37</f>
        <v>#DIV/0!</v>
      </c>
      <c r="L37" s="5" t="e">
        <f>'[2]2026年度男装数据汇总分析--俄罗斯'!L37</f>
        <v>#DIV/0!</v>
      </c>
      <c r="M37" s="5" t="e">
        <f>'[2]2026年度男装数据汇总分析--俄罗斯'!M37</f>
        <v>#DIV/0!</v>
      </c>
      <c r="N37" s="5" t="e">
        <f>'[2]2026年度男装数据汇总分析--俄罗斯'!N37</f>
        <v>#DIV/0!</v>
      </c>
      <c r="O37" s="5">
        <f>'[2]2026年度男装数据汇总分析--俄罗斯'!O37</f>
        <v>0.170161205074302</v>
      </c>
    </row>
    <row r="38" s="34" customFormat="1" spans="1:15">
      <c r="A38" s="8" t="str">
        <f>'[2]2026年度男装数据汇总分析--俄罗斯'!A38</f>
        <v>MYTF5店</v>
      </c>
      <c r="B38" s="22" t="str">
        <f>'[2]2026年度男装数据汇总分析--俄罗斯'!B38</f>
        <v>实际利润（人民币）</v>
      </c>
      <c r="C38" s="22">
        <f>'[2]2026年度男装数据汇总分析--俄罗斯'!C38</f>
        <v>98745.23</v>
      </c>
      <c r="D38" s="22">
        <f>'[2]2026年度男装数据汇总分析--俄罗斯'!D38</f>
        <v>106782.42</v>
      </c>
      <c r="E38" s="22">
        <f>'[2]2026年度男装数据汇总分析--俄罗斯'!E38</f>
        <v>122622.34</v>
      </c>
      <c r="F38" s="22">
        <f>'[2]2026年度男装数据汇总分析--俄罗斯'!F38</f>
        <v>149415.87</v>
      </c>
      <c r="G38" s="22">
        <f>'[2]2026年度男装数据汇总分析--俄罗斯'!G38</f>
        <v>95805.82</v>
      </c>
      <c r="H38" s="22">
        <f>'[2]2026年度男装数据汇总分析--俄罗斯'!H38</f>
        <v>30284.73</v>
      </c>
      <c r="I38" s="22">
        <f>'[2]2026年度男装数据汇总分析--俄罗斯'!I38</f>
        <v>0</v>
      </c>
      <c r="J38" s="22">
        <f>'[2]2026年度男装数据汇总分析--俄罗斯'!J38</f>
        <v>0</v>
      </c>
      <c r="K38" s="22">
        <f>'[2]2026年度男装数据汇总分析--俄罗斯'!K38</f>
        <v>0</v>
      </c>
      <c r="L38" s="22">
        <f>'[2]2026年度男装数据汇总分析--俄罗斯'!L38</f>
        <v>0</v>
      </c>
      <c r="M38" s="22">
        <f>'[2]2026年度男装数据汇总分析--俄罗斯'!M38</f>
        <v>0</v>
      </c>
      <c r="N38" s="22">
        <f>'[2]2026年度男装数据汇总分析--俄罗斯'!N38</f>
        <v>0</v>
      </c>
      <c r="O38" s="22">
        <f>'[2]2026年度男装数据汇总分析--俄罗斯'!O38</f>
        <v>603656.41</v>
      </c>
    </row>
    <row r="39" s="34" customFormat="1" spans="1:15">
      <c r="A39" s="11">
        <f>'[2]2026年度男装数据汇总分析--俄罗斯'!A39</f>
        <v>0</v>
      </c>
      <c r="B39" s="1" t="str">
        <f>'[2]2026年度男装数据汇总分析--俄罗斯'!B39</f>
        <v>销量完成</v>
      </c>
      <c r="C39" s="1">
        <f>'[2]2026年度男装数据汇总分析--俄罗斯'!C39</f>
        <v>6740</v>
      </c>
      <c r="D39" s="1">
        <f>'[2]2026年度男装数据汇总分析--俄罗斯'!D39</f>
        <v>6619</v>
      </c>
      <c r="E39" s="1">
        <f>'[2]2026年度男装数据汇总分析--俄罗斯'!E39</f>
        <v>7334</v>
      </c>
      <c r="F39" s="1">
        <f>'[2]2026年度男装数据汇总分析--俄罗斯'!F39</f>
        <v>6965</v>
      </c>
      <c r="G39" s="1">
        <f>'[2]2026年度男装数据汇总分析--俄罗斯'!G39</f>
        <v>6417</v>
      </c>
      <c r="H39" s="1">
        <f>'[2]2026年度男装数据汇总分析--俄罗斯'!H39</f>
        <v>1652</v>
      </c>
      <c r="I39" s="1">
        <f>'[2]2026年度男装数据汇总分析--俄罗斯'!I39</f>
        <v>0</v>
      </c>
      <c r="J39" s="1">
        <f>'[2]2026年度男装数据汇总分析--俄罗斯'!J39</f>
        <v>0</v>
      </c>
      <c r="K39" s="1">
        <f>'[2]2026年度男装数据汇总分析--俄罗斯'!K39</f>
        <v>0</v>
      </c>
      <c r="L39" s="1">
        <f>'[2]2026年度男装数据汇总分析--俄罗斯'!L39</f>
        <v>0</v>
      </c>
      <c r="M39" s="1">
        <f>'[2]2026年度男装数据汇总分析--俄罗斯'!M39</f>
        <v>0</v>
      </c>
      <c r="N39" s="1">
        <f>'[2]2026年度男装数据汇总分析--俄罗斯'!N39</f>
        <v>0</v>
      </c>
      <c r="O39" s="1">
        <f>'[2]2026年度男装数据汇总分析--俄罗斯'!O39</f>
        <v>35727</v>
      </c>
    </row>
    <row r="40" s="34" customFormat="1" spans="1:15">
      <c r="A40" s="11">
        <f>'[2]2026年度男装数据汇总分析--俄罗斯'!A40</f>
        <v>0</v>
      </c>
      <c r="B40" s="1" t="str">
        <f>'[2]2026年度男装数据汇总分析--俄罗斯'!B40</f>
        <v>实销完成</v>
      </c>
      <c r="C40" s="1">
        <f>'[2]2026年度男装数据汇总分析--俄罗斯'!C40</f>
        <v>2322</v>
      </c>
      <c r="D40" s="1">
        <f>'[2]2026年度男装数据汇总分析--俄罗斯'!D40</f>
        <v>1989</v>
      </c>
      <c r="E40" s="1">
        <f>'[2]2026年度男装数据汇总分析--俄罗斯'!E40</f>
        <v>2504</v>
      </c>
      <c r="F40" s="1">
        <f>'[2]2026年度男装数据汇总分析--俄罗斯'!F40</f>
        <v>2459</v>
      </c>
      <c r="G40" s="1">
        <f>'[2]2026年度男装数据汇总分析--俄罗斯'!G40</f>
        <v>1916</v>
      </c>
      <c r="H40" s="1">
        <f>'[2]2026年度男装数据汇总分析--俄罗斯'!H40</f>
        <v>541</v>
      </c>
      <c r="I40" s="1">
        <f>'[2]2026年度男装数据汇总分析--俄罗斯'!I40</f>
        <v>0</v>
      </c>
      <c r="J40" s="1">
        <f>'[2]2026年度男装数据汇总分析--俄罗斯'!J40</f>
        <v>0</v>
      </c>
      <c r="K40" s="1">
        <f>'[2]2026年度男装数据汇总分析--俄罗斯'!K40</f>
        <v>0</v>
      </c>
      <c r="L40" s="1">
        <f>'[2]2026年度男装数据汇总分析--俄罗斯'!L40</f>
        <v>0</v>
      </c>
      <c r="M40" s="1">
        <f>'[2]2026年度男装数据汇总分析--俄罗斯'!M40</f>
        <v>0</v>
      </c>
      <c r="N40" s="1">
        <f>'[2]2026年度男装数据汇总分析--俄罗斯'!N40</f>
        <v>0</v>
      </c>
      <c r="O40" s="1">
        <f>'[2]2026年度男装数据汇总分析--俄罗斯'!O40</f>
        <v>11731</v>
      </c>
    </row>
    <row r="41" s="34" customFormat="1" spans="1:15">
      <c r="A41" s="11">
        <f>'[2]2026年度男装数据汇总分析--俄罗斯'!A41</f>
        <v>0</v>
      </c>
      <c r="B41" s="22" t="str">
        <f>'[2]2026年度男装数据汇总分析--俄罗斯'!B41</f>
        <v>GMV完成</v>
      </c>
      <c r="C41" s="22">
        <f>'[2]2026年度男装数据汇总分析--俄罗斯'!C41</f>
        <v>2158725.2247</v>
      </c>
      <c r="D41" s="22">
        <f>'[2]2026年度男装数据汇总分析--俄罗斯'!D41</f>
        <v>2221214.7587</v>
      </c>
      <c r="E41" s="22">
        <f>'[2]2026年度男装数据汇总分析--俄罗斯'!E41</f>
        <v>2614149.1856</v>
      </c>
      <c r="F41" s="22">
        <f>'[2]2026年度男装数据汇总分析--俄罗斯'!F41</f>
        <v>2746120.052</v>
      </c>
      <c r="G41" s="22">
        <f>'[2]2026年度男装数据汇总分析--俄罗斯'!G41</f>
        <v>2954093.3256</v>
      </c>
      <c r="H41" s="22">
        <f>'[2]2026年度男装数据汇总分析--俄罗斯'!H41</f>
        <v>669524.052</v>
      </c>
      <c r="I41" s="22">
        <f>'[2]2026年度男装数据汇总分析--俄罗斯'!I41</f>
        <v>0</v>
      </c>
      <c r="J41" s="22">
        <f>'[2]2026年度男装数据汇总分析--俄罗斯'!J41</f>
        <v>0</v>
      </c>
      <c r="K41" s="22">
        <f>'[2]2026年度男装数据汇总分析--俄罗斯'!K41</f>
        <v>0</v>
      </c>
      <c r="L41" s="22">
        <f>'[2]2026年度男装数据汇总分析--俄罗斯'!L41</f>
        <v>0</v>
      </c>
      <c r="M41" s="22">
        <f>'[2]2026年度男装数据汇总分析--俄罗斯'!M41</f>
        <v>0</v>
      </c>
      <c r="N41" s="22">
        <f>'[2]2026年度男装数据汇总分析--俄罗斯'!N41</f>
        <v>0</v>
      </c>
      <c r="O41" s="22">
        <f>'[2]2026年度男装数据汇总分析--俄罗斯'!O41</f>
        <v>13363826.5986</v>
      </c>
    </row>
    <row r="42" s="34" customFormat="1" spans="1:15">
      <c r="A42" s="11">
        <f>'[2]2026年度男装数据汇总分析--俄罗斯'!A42</f>
        <v>0</v>
      </c>
      <c r="B42" s="22" t="str">
        <f>'[2]2026年度男装数据汇总分析--俄罗斯'!B42</f>
        <v>GSV完成</v>
      </c>
      <c r="C42" s="22">
        <f>'[2]2026年度男装数据汇总分析--俄罗斯'!C42</f>
        <v>740366.43</v>
      </c>
      <c r="D42" s="22">
        <f>'[2]2026年度男装数据汇总分析--俄罗斯'!D42</f>
        <v>614880.34</v>
      </c>
      <c r="E42" s="22">
        <f>'[2]2026年度男装数据汇总分析--俄罗斯'!E42</f>
        <v>806577.74</v>
      </c>
      <c r="F42" s="22">
        <f>'[2]2026年度男装数据汇总分析--俄罗斯'!F42</f>
        <v>861340.47</v>
      </c>
      <c r="G42" s="22">
        <f>'[2]2026年度男装数据汇总分析--俄罗斯'!G42</f>
        <v>702420.3795</v>
      </c>
      <c r="H42" s="22">
        <f>'[2]2026年度男装数据汇总分析--俄罗斯'!H42</f>
        <v>188985.7344</v>
      </c>
      <c r="I42" s="22">
        <f>'[2]2026年度男装数据汇总分析--俄罗斯'!I42</f>
        <v>0</v>
      </c>
      <c r="J42" s="22">
        <f>'[2]2026年度男装数据汇总分析--俄罗斯'!J42</f>
        <v>0</v>
      </c>
      <c r="K42" s="22">
        <f>'[2]2026年度男装数据汇总分析--俄罗斯'!K42</f>
        <v>0</v>
      </c>
      <c r="L42" s="22">
        <f>'[2]2026年度男装数据汇总分析--俄罗斯'!L42</f>
        <v>0</v>
      </c>
      <c r="M42" s="22">
        <f>'[2]2026年度男装数据汇总分析--俄罗斯'!M42</f>
        <v>0</v>
      </c>
      <c r="N42" s="22">
        <f>'[2]2026年度男装数据汇总分析--俄罗斯'!N42</f>
        <v>0</v>
      </c>
      <c r="O42" s="22">
        <f>'[2]2026年度男装数据汇总分析--俄罗斯'!O42</f>
        <v>3914571.0939</v>
      </c>
    </row>
    <row r="43" s="34" customFormat="1" spans="1:15">
      <c r="A43" s="11">
        <f>'[2]2026年度男装数据汇总分析--俄罗斯'!A43</f>
        <v>0</v>
      </c>
      <c r="B43" s="1" t="str">
        <f>'[2]2026年度男装数据汇总分析--俄罗斯'!B43</f>
        <v>退款率</v>
      </c>
      <c r="C43" s="5">
        <f>'[2]2026年度男装数据汇总分析--俄罗斯'!C43</f>
        <v>0.342964644841675</v>
      </c>
      <c r="D43" s="5">
        <f>'[2]2026年度男装数据汇总分析--俄罗斯'!D43</f>
        <v>0.276821652472662</v>
      </c>
      <c r="E43" s="5">
        <f>'[2]2026年度男装数据汇总分析--俄罗斯'!E43</f>
        <v>0.308543117754343</v>
      </c>
      <c r="F43" s="5">
        <f>'[2]2026年度男装数据汇总分析--俄罗斯'!F43</f>
        <v>0.313657252301364</v>
      </c>
      <c r="G43" s="5">
        <f>'[2]2026年度男装数据汇总分析--俄罗斯'!G43</f>
        <v>0.237778669147947</v>
      </c>
      <c r="H43" s="5">
        <f>'[2]2026年度男装数据汇总分析--俄罗斯'!H43</f>
        <v>0.282268775610768</v>
      </c>
      <c r="I43" s="5" t="e">
        <f>'[2]2026年度男装数据汇总分析--俄罗斯'!I43</f>
        <v>#DIV/0!</v>
      </c>
      <c r="J43" s="5" t="e">
        <f>'[2]2026年度男装数据汇总分析--俄罗斯'!J43</f>
        <v>#DIV/0!</v>
      </c>
      <c r="K43" s="5" t="e">
        <f>'[2]2026年度男装数据汇总分析--俄罗斯'!K43</f>
        <v>#DIV/0!</v>
      </c>
      <c r="L43" s="5" t="e">
        <f>'[2]2026年度男装数据汇总分析--俄罗斯'!L43</f>
        <v>#DIV/0!</v>
      </c>
      <c r="M43" s="5" t="e">
        <f>'[2]2026年度男装数据汇总分析--俄罗斯'!M43</f>
        <v>#DIV/0!</v>
      </c>
      <c r="N43" s="5" t="e">
        <f>'[2]2026年度男装数据汇总分析--俄罗斯'!N43</f>
        <v>#DIV/0!</v>
      </c>
      <c r="O43" s="5">
        <f>'[2]2026年度男装数据汇总分析--俄罗斯'!O43</f>
        <v>0.292922918822524</v>
      </c>
    </row>
    <row r="44" s="34" customFormat="1" spans="1:15">
      <c r="A44" s="11">
        <f>'[2]2026年度男装数据汇总分析--俄罗斯'!A44</f>
        <v>0</v>
      </c>
      <c r="B44" s="1" t="str">
        <f>'[2]2026年度男装数据汇总分析--俄罗斯'!B44</f>
        <v>退货率</v>
      </c>
      <c r="C44" s="5">
        <f>'[2]2026年度男装数据汇总分析--俄罗斯'!C44</f>
        <v>0.655489614243323</v>
      </c>
      <c r="D44" s="5">
        <f>'[2]2026年度男装数据汇总分析--俄罗斯'!D44</f>
        <v>0.699501435262124</v>
      </c>
      <c r="E44" s="5">
        <f>'[2]2026年度男装数据汇总分析--俄罗斯'!E44</f>
        <v>0.658576493046087</v>
      </c>
      <c r="F44" s="5">
        <f>'[2]2026年度男装数据汇总分析--俄罗斯'!F44</f>
        <v>0.646949030868629</v>
      </c>
      <c r="G44" s="5">
        <f>'[2]2026年度男装数据汇总分析--俄罗斯'!G44</f>
        <v>0.701418108150226</v>
      </c>
      <c r="H44" s="5">
        <f>'[2]2026年度男装数据汇总分析--俄罗斯'!H44</f>
        <v>0.672518159806295</v>
      </c>
      <c r="I44" s="5" t="e">
        <f>'[2]2026年度男装数据汇总分析--俄罗斯'!I44</f>
        <v>#DIV/0!</v>
      </c>
      <c r="J44" s="5" t="e">
        <f>'[2]2026年度男装数据汇总分析--俄罗斯'!J44</f>
        <v>#DIV/0!</v>
      </c>
      <c r="K44" s="5" t="e">
        <f>'[2]2026年度男装数据汇总分析--俄罗斯'!K44</f>
        <v>#DIV/0!</v>
      </c>
      <c r="L44" s="5" t="e">
        <f>'[2]2026年度男装数据汇总分析--俄罗斯'!L44</f>
        <v>#DIV/0!</v>
      </c>
      <c r="M44" s="5" t="e">
        <f>'[2]2026年度男装数据汇总分析--俄罗斯'!M44</f>
        <v>#DIV/0!</v>
      </c>
      <c r="N44" s="5" t="e">
        <f>'[2]2026年度男装数据汇总分析--俄罗斯'!N44</f>
        <v>#DIV/0!</v>
      </c>
      <c r="O44" s="5">
        <f>'[2]2026年度男装数据汇总分析--俄罗斯'!O44</f>
        <v>0.671648892994094</v>
      </c>
    </row>
    <row r="45" s="34" customFormat="1" spans="1:15">
      <c r="A45" s="24">
        <f>'[2]2026年度男装数据汇总分析--俄罗斯'!A45</f>
        <v>0</v>
      </c>
      <c r="B45" s="1" t="str">
        <f>'[2]2026年度男装数据汇总分析--俄罗斯'!B45</f>
        <v>利润率</v>
      </c>
      <c r="C45" s="5">
        <f>'[2]2026年度男装数据汇总分析--俄罗斯'!C45</f>
        <v>0.133373456708457</v>
      </c>
      <c r="D45" s="5">
        <f>'[2]2026年度男装数据汇总分析--俄罗斯'!D45</f>
        <v>0.173663740818254</v>
      </c>
      <c r="E45" s="5">
        <f>'[2]2026年度男装数据汇总分析--俄罗斯'!E45</f>
        <v>0.152027924797429</v>
      </c>
      <c r="F45" s="5">
        <f>'[2]2026年度男装数据汇总分析--俄罗斯'!F45</f>
        <v>0.173469000011111</v>
      </c>
      <c r="G45" s="5">
        <f>'[2]2026年度男装数据汇总分析--俄罗斯'!G45</f>
        <v>0.136393850173022</v>
      </c>
      <c r="H45" s="5">
        <f>'[2]2026年度男装数据汇总分析--俄罗斯'!H45</f>
        <v>0.160248762141488</v>
      </c>
      <c r="I45" s="5" t="e">
        <f>'[2]2026年度男装数据汇总分析--俄罗斯'!I45</f>
        <v>#DIV/0!</v>
      </c>
      <c r="J45" s="5" t="e">
        <f>'[2]2026年度男装数据汇总分析--俄罗斯'!J45</f>
        <v>#DIV/0!</v>
      </c>
      <c r="K45" s="5" t="e">
        <f>'[2]2026年度男装数据汇总分析--俄罗斯'!K45</f>
        <v>#DIV/0!</v>
      </c>
      <c r="L45" s="5" t="e">
        <f>'[2]2026年度男装数据汇总分析--俄罗斯'!L45</f>
        <v>#DIV/0!</v>
      </c>
      <c r="M45" s="5" t="e">
        <f>'[2]2026年度男装数据汇总分析--俄罗斯'!M45</f>
        <v>#DIV/0!</v>
      </c>
      <c r="N45" s="5" t="e">
        <f>'[2]2026年度男装数据汇总分析--俄罗斯'!N45</f>
        <v>#DIV/0!</v>
      </c>
      <c r="O45" s="5">
        <f>'[2]2026年度男装数据汇总分析--俄罗斯'!O45</f>
        <v>0.154207548035254</v>
      </c>
    </row>
    <row r="46" s="34" customFormat="1" spans="1:15">
      <c r="A46" s="8" t="str">
        <f>'[2]2026年度男装数据汇总分析--俄罗斯'!A46</f>
        <v>HZTF6店</v>
      </c>
      <c r="B46" s="22" t="str">
        <f>'[2]2026年度男装数据汇总分析--俄罗斯'!B46</f>
        <v>实际利润（人民币）</v>
      </c>
      <c r="C46" s="22">
        <f>'[2]2026年度男装数据汇总分析--俄罗斯'!C46</f>
        <v>14020.65</v>
      </c>
      <c r="D46" s="22">
        <f>'[2]2026年度男装数据汇总分析--俄罗斯'!D46</f>
        <v>66698.69</v>
      </c>
      <c r="E46" s="22">
        <f>'[2]2026年度男装数据汇总分析--俄罗斯'!E46</f>
        <v>115284.82</v>
      </c>
      <c r="F46" s="22">
        <f>'[2]2026年度男装数据汇总分析--俄罗斯'!F46</f>
        <v>169881.56</v>
      </c>
      <c r="G46" s="22">
        <f>'[2]2026年度男装数据汇总分析--俄罗斯'!G46</f>
        <v>267227.4</v>
      </c>
      <c r="H46" s="22">
        <f>'[2]2026年度男装数据汇总分析--俄罗斯'!H46</f>
        <v>70950.96</v>
      </c>
      <c r="I46" s="22">
        <f>'[2]2026年度男装数据汇总分析--俄罗斯'!I46</f>
        <v>0</v>
      </c>
      <c r="J46" s="22">
        <f>'[2]2026年度男装数据汇总分析--俄罗斯'!J46</f>
        <v>0</v>
      </c>
      <c r="K46" s="22">
        <f>'[2]2026年度男装数据汇总分析--俄罗斯'!K46</f>
        <v>0</v>
      </c>
      <c r="L46" s="22">
        <f>'[2]2026年度男装数据汇总分析--俄罗斯'!L46</f>
        <v>0</v>
      </c>
      <c r="M46" s="22">
        <f>'[2]2026年度男装数据汇总分析--俄罗斯'!M46</f>
        <v>0</v>
      </c>
      <c r="N46" s="22">
        <f>'[2]2026年度男装数据汇总分析--俄罗斯'!N46</f>
        <v>0</v>
      </c>
      <c r="O46" s="22">
        <f>'[2]2026年度男装数据汇总分析--俄罗斯'!O46</f>
        <v>704064.08</v>
      </c>
    </row>
    <row r="47" s="34" customFormat="1" spans="1:15">
      <c r="A47" s="11">
        <f>'[2]2026年度男装数据汇总分析--俄罗斯'!A47</f>
        <v>0</v>
      </c>
      <c r="B47" s="1" t="str">
        <f>'[2]2026年度男装数据汇总分析--俄罗斯'!B47</f>
        <v>销量完成</v>
      </c>
      <c r="C47" s="1">
        <f>'[2]2026年度男装数据汇总分析--俄罗斯'!C47</f>
        <v>2236</v>
      </c>
      <c r="D47" s="1">
        <f>'[2]2026年度男装数据汇总分析--俄罗斯'!D47</f>
        <v>4852</v>
      </c>
      <c r="E47" s="1">
        <f>'[2]2026年度男装数据汇总分析--俄罗斯'!E47</f>
        <v>6178</v>
      </c>
      <c r="F47" s="1">
        <f>'[2]2026年度男装数据汇总分析--俄罗斯'!F47</f>
        <v>7019</v>
      </c>
      <c r="G47" s="1">
        <f>'[2]2026年度男装数据汇总分析--俄罗斯'!G47</f>
        <v>8516</v>
      </c>
      <c r="H47" s="1">
        <f>'[2]2026年度男装数据汇总分析--俄罗斯'!H47</f>
        <v>2443</v>
      </c>
      <c r="I47" s="1">
        <f>'[2]2026年度男装数据汇总分析--俄罗斯'!I47</f>
        <v>0</v>
      </c>
      <c r="J47" s="1">
        <f>'[2]2026年度男装数据汇总分析--俄罗斯'!J47</f>
        <v>0</v>
      </c>
      <c r="K47" s="1">
        <f>'[2]2026年度男装数据汇总分析--俄罗斯'!K47</f>
        <v>0</v>
      </c>
      <c r="L47" s="1">
        <f>'[2]2026年度男装数据汇总分析--俄罗斯'!L47</f>
        <v>0</v>
      </c>
      <c r="M47" s="1">
        <f>'[2]2026年度男装数据汇总分析--俄罗斯'!M47</f>
        <v>0</v>
      </c>
      <c r="N47" s="1">
        <f>'[2]2026年度男装数据汇总分析--俄罗斯'!N47</f>
        <v>0</v>
      </c>
      <c r="O47" s="1">
        <f>'[2]2026年度男装数据汇总分析--俄罗斯'!O47</f>
        <v>31244</v>
      </c>
    </row>
    <row r="48" s="34" customFormat="1" spans="1:15">
      <c r="A48" s="11">
        <f>'[2]2026年度男装数据汇总分析--俄罗斯'!A48</f>
        <v>0</v>
      </c>
      <c r="B48" s="1" t="str">
        <f>'[2]2026年度男装数据汇总分析--俄罗斯'!B48</f>
        <v>实销完成</v>
      </c>
      <c r="C48" s="1">
        <f>'[2]2026年度男装数据汇总分析--俄罗斯'!C48</f>
        <v>621</v>
      </c>
      <c r="D48" s="1">
        <f>'[2]2026年度男装数据汇总分析--俄罗斯'!D48</f>
        <v>1541</v>
      </c>
      <c r="E48" s="1">
        <f>'[2]2026年度男装数据汇总分析--俄罗斯'!E48</f>
        <v>2178</v>
      </c>
      <c r="F48" s="1">
        <f>'[2]2026年度男装数据汇总分析--俄罗斯'!F48</f>
        <v>2410</v>
      </c>
      <c r="G48" s="1">
        <f>'[2]2026年度男装数据汇总分析--俄罗斯'!G48</f>
        <v>3226</v>
      </c>
      <c r="H48" s="1">
        <f>'[2]2026年度男装数据汇总分析--俄罗斯'!H48</f>
        <v>936</v>
      </c>
      <c r="I48" s="1">
        <f>'[2]2026年度男装数据汇总分析--俄罗斯'!I48</f>
        <v>0</v>
      </c>
      <c r="J48" s="1">
        <f>'[2]2026年度男装数据汇总分析--俄罗斯'!J48</f>
        <v>0</v>
      </c>
      <c r="K48" s="1">
        <f>'[2]2026年度男装数据汇总分析--俄罗斯'!K48</f>
        <v>0</v>
      </c>
      <c r="L48" s="1">
        <f>'[2]2026年度男装数据汇总分析--俄罗斯'!L48</f>
        <v>0</v>
      </c>
      <c r="M48" s="1">
        <f>'[2]2026年度男装数据汇总分析--俄罗斯'!M48</f>
        <v>0</v>
      </c>
      <c r="N48" s="1">
        <f>'[2]2026年度男装数据汇总分析--俄罗斯'!N48</f>
        <v>0</v>
      </c>
      <c r="O48" s="1">
        <f>'[2]2026年度男装数据汇总分析--俄罗斯'!O48</f>
        <v>10912</v>
      </c>
    </row>
    <row r="49" s="34" customFormat="1" spans="1:15">
      <c r="A49" s="11">
        <f>'[2]2026年度男装数据汇总分析--俄罗斯'!A49</f>
        <v>0</v>
      </c>
      <c r="B49" s="22" t="str">
        <f>'[2]2026年度男装数据汇总分析--俄罗斯'!B49</f>
        <v>GMV完成</v>
      </c>
      <c r="C49" s="22">
        <f>'[2]2026年度男装数据汇总分析--俄罗斯'!C49</f>
        <v>715121.5005</v>
      </c>
      <c r="D49" s="22">
        <f>'[2]2026年度男装数据汇总分析--俄罗斯'!D49</f>
        <v>1585053.0701</v>
      </c>
      <c r="E49" s="22">
        <f>'[2]2026年度男装数据汇总分析--俄罗斯'!E49</f>
        <v>2306985.484</v>
      </c>
      <c r="F49" s="22">
        <f>'[2]2026年度男装数据汇总分析--俄罗斯'!F49</f>
        <v>2869544.286</v>
      </c>
      <c r="G49" s="22">
        <f>'[2]2026年度男装数据汇总分析--俄罗斯'!G49</f>
        <v>3625780.1448</v>
      </c>
      <c r="H49" s="22">
        <f>'[2]2026年度男装数据汇总分析--俄罗斯'!H49</f>
        <v>1008220.752</v>
      </c>
      <c r="I49" s="22">
        <f>'[2]2026年度男装数据汇总分析--俄罗斯'!I49</f>
        <v>0</v>
      </c>
      <c r="J49" s="22">
        <f>'[2]2026年度男装数据汇总分析--俄罗斯'!J49</f>
        <v>0</v>
      </c>
      <c r="K49" s="22">
        <f>'[2]2026年度男装数据汇总分析--俄罗斯'!K49</f>
        <v>0</v>
      </c>
      <c r="L49" s="22">
        <f>'[2]2026年度男装数据汇总分析--俄罗斯'!L49</f>
        <v>0</v>
      </c>
      <c r="M49" s="22">
        <f>'[2]2026年度男装数据汇总分析--俄罗斯'!M49</f>
        <v>0</v>
      </c>
      <c r="N49" s="22">
        <f>'[2]2026年度男装数据汇总分析--俄罗斯'!N49</f>
        <v>0</v>
      </c>
      <c r="O49" s="22">
        <f>'[2]2026年度男装数据汇总分析--俄罗斯'!O49</f>
        <v>12110705.2374</v>
      </c>
    </row>
    <row r="50" s="34" customFormat="1" spans="1:15">
      <c r="A50" s="11">
        <f>'[2]2026年度男装数据汇总分析--俄罗斯'!A50</f>
        <v>0</v>
      </c>
      <c r="B50" s="22" t="str">
        <f>'[2]2026年度男装数据汇总分析--俄罗斯'!B50</f>
        <v>GSV完成</v>
      </c>
      <c r="C50" s="22">
        <f>'[2]2026年度男装数据汇总分析--俄罗斯'!C50</f>
        <v>199499.49</v>
      </c>
      <c r="D50" s="22">
        <f>'[2]2026年度男装数据汇总分析--俄罗斯'!D50</f>
        <v>522521.48</v>
      </c>
      <c r="E50" s="22">
        <f>'[2]2026年度男装数据汇总分析--俄罗斯'!E50</f>
        <v>726996.58</v>
      </c>
      <c r="F50" s="22">
        <f>'[2]2026年度男装数据汇总分析--俄罗斯'!F50</f>
        <v>863626.8</v>
      </c>
      <c r="G50" s="22">
        <f>'[2]2026年度男装数据汇总分析--俄罗斯'!G50</f>
        <v>1213786.7552</v>
      </c>
      <c r="H50" s="22">
        <f>'[2]2026年度男装数据汇总分析--俄罗斯'!H50</f>
        <v>328535.4711</v>
      </c>
      <c r="I50" s="22">
        <f>'[2]2026年度男装数据汇总分析--俄罗斯'!I50</f>
        <v>0</v>
      </c>
      <c r="J50" s="22">
        <f>'[2]2026年度男装数据汇总分析--俄罗斯'!J50</f>
        <v>0</v>
      </c>
      <c r="K50" s="22">
        <f>'[2]2026年度男装数据汇总分析--俄罗斯'!K50</f>
        <v>0</v>
      </c>
      <c r="L50" s="22">
        <f>'[2]2026年度男装数据汇总分析--俄罗斯'!L50</f>
        <v>0</v>
      </c>
      <c r="M50" s="22">
        <f>'[2]2026年度男装数据汇总分析--俄罗斯'!M50</f>
        <v>0</v>
      </c>
      <c r="N50" s="22">
        <f>'[2]2026年度男装数据汇总分析--俄罗斯'!N50</f>
        <v>0</v>
      </c>
      <c r="O50" s="22">
        <f>'[2]2026年度男装数据汇总分析--俄罗斯'!O50</f>
        <v>3854966.5763</v>
      </c>
    </row>
    <row r="51" s="34" customFormat="1" spans="1:15">
      <c r="A51" s="11">
        <f>'[2]2026年度男装数据汇总分析--俄罗斯'!A51</f>
        <v>0</v>
      </c>
      <c r="B51" s="1" t="str">
        <f>'[2]2026年度男装数据汇总分析--俄罗斯'!B51</f>
        <v>退款率</v>
      </c>
      <c r="C51" s="5">
        <f>'[2]2026年度男装数据汇总分析--俄罗斯'!C51</f>
        <v>0.278972859661629</v>
      </c>
      <c r="D51" s="5">
        <f>'[2]2026年度男装数据汇总分析--俄罗斯'!D51</f>
        <v>0.329655511135053</v>
      </c>
      <c r="E51" s="5">
        <f>'[2]2026年度男装数据汇总分析--俄罗斯'!E51</f>
        <v>0.315128372086454</v>
      </c>
      <c r="F51" s="5">
        <f>'[2]2026年度男装数据汇总分析--俄罗斯'!F51</f>
        <v>0.300963049852021</v>
      </c>
      <c r="G51" s="5">
        <f>'[2]2026年度男装数据汇总分析--俄罗斯'!G51</f>
        <v>0.334765679860865</v>
      </c>
      <c r="H51" s="5">
        <f>'[2]2026年度男装数据汇总分析--俄罗斯'!H51</f>
        <v>0.32585668411237</v>
      </c>
      <c r="I51" s="5" t="e">
        <f>'[2]2026年度男装数据汇总分析--俄罗斯'!I51</f>
        <v>#DIV/0!</v>
      </c>
      <c r="J51" s="5" t="e">
        <f>'[2]2026年度男装数据汇总分析--俄罗斯'!J51</f>
        <v>#DIV/0!</v>
      </c>
      <c r="K51" s="5" t="e">
        <f>'[2]2026年度男装数据汇总分析--俄罗斯'!K51</f>
        <v>#DIV/0!</v>
      </c>
      <c r="L51" s="5" t="e">
        <f>'[2]2026年度男装数据汇总分析--俄罗斯'!L51</f>
        <v>#DIV/0!</v>
      </c>
      <c r="M51" s="5" t="e">
        <f>'[2]2026年度男装数据汇总分析--俄罗斯'!M51</f>
        <v>#DIV/0!</v>
      </c>
      <c r="N51" s="5" t="e">
        <f>'[2]2026年度男装数据汇总分析--俄罗斯'!N51</f>
        <v>#DIV/0!</v>
      </c>
      <c r="O51" s="5">
        <f>'[2]2026年度男装数据汇总分析--俄罗斯'!O51</f>
        <v>0.318310659927151</v>
      </c>
    </row>
    <row r="52" s="34" customFormat="1" spans="1:15">
      <c r="A52" s="11">
        <f>'[2]2026年度男装数据汇总分析--俄罗斯'!A52</f>
        <v>0</v>
      </c>
      <c r="B52" s="1" t="str">
        <f>'[2]2026年度男装数据汇总分析--俄罗斯'!B52</f>
        <v>退货率</v>
      </c>
      <c r="C52" s="5">
        <f>'[2]2026年度男装数据汇总分析--俄罗斯'!C52</f>
        <v>0.722271914132379</v>
      </c>
      <c r="D52" s="5">
        <f>'[2]2026年度男装数据汇总分析--俄罗斯'!D52</f>
        <v>0.68239901071723</v>
      </c>
      <c r="E52" s="5">
        <f>'[2]2026年度男装数据汇总分析--俄罗斯'!E52</f>
        <v>0.647458724506313</v>
      </c>
      <c r="F52" s="5">
        <f>'[2]2026年度男装数据汇总分析--俄罗斯'!F52</f>
        <v>0.656646245903975</v>
      </c>
      <c r="G52" s="5">
        <f>'[2]2026年度男装数据汇总分析--俄罗斯'!G52</f>
        <v>0.621183654297792</v>
      </c>
      <c r="H52" s="5">
        <f>'[2]2026年度男装数据汇总分析--俄罗斯'!H52</f>
        <v>0.616864510847319</v>
      </c>
      <c r="I52" s="5" t="e">
        <f>'[2]2026年度男装数据汇总分析--俄罗斯'!I52</f>
        <v>#DIV/0!</v>
      </c>
      <c r="J52" s="5" t="e">
        <f>'[2]2026年度男装数据汇总分析--俄罗斯'!J52</f>
        <v>#DIV/0!</v>
      </c>
      <c r="K52" s="5" t="e">
        <f>'[2]2026年度男装数据汇总分析--俄罗斯'!K52</f>
        <v>#DIV/0!</v>
      </c>
      <c r="L52" s="5" t="e">
        <f>'[2]2026年度男装数据汇总分析--俄罗斯'!L52</f>
        <v>#DIV/0!</v>
      </c>
      <c r="M52" s="5" t="e">
        <f>'[2]2026年度男装数据汇总分析--俄罗斯'!M52</f>
        <v>#DIV/0!</v>
      </c>
      <c r="N52" s="5" t="e">
        <f>'[2]2026年度男装数据汇总分析--俄罗斯'!N52</f>
        <v>#DIV/0!</v>
      </c>
      <c r="O52" s="5">
        <f>'[2]2026年度男装数据汇总分析--俄罗斯'!O52</f>
        <v>0.650748943797209</v>
      </c>
    </row>
    <row r="53" s="34" customFormat="1" spans="1:15">
      <c r="A53" s="24">
        <f>'[2]2026年度男装数据汇总分析--俄罗斯'!A53</f>
        <v>0</v>
      </c>
      <c r="B53" s="1" t="str">
        <f>'[2]2026年度男装数据汇总分析--俄罗斯'!B53</f>
        <v>利润率</v>
      </c>
      <c r="C53" s="5">
        <f>'[2]2026年度男装数据汇总分析--俄罗斯'!C53</f>
        <v>0.0702791270293473</v>
      </c>
      <c r="D53" s="5">
        <f>'[2]2026年度男装数据汇总分析--俄罗斯'!D53</f>
        <v>0.127647747610299</v>
      </c>
      <c r="E53" s="5">
        <f>'[2]2026年度男装数据汇总分析--俄罗斯'!E53</f>
        <v>0.158576839522409</v>
      </c>
      <c r="F53" s="5">
        <f>'[2]2026年度男装数据汇总分析--俄罗斯'!F53</f>
        <v>0.196707142483304</v>
      </c>
      <c r="G53" s="5">
        <f>'[2]2026年度男装数据汇总分析--俄罗斯'!G53</f>
        <v>0.22016008895728</v>
      </c>
      <c r="H53" s="5">
        <f>'[2]2026年度男装数据汇总分析--俄罗斯'!H53</f>
        <v>0.21596133824589</v>
      </c>
      <c r="I53" s="5" t="e">
        <f>'[2]2026年度男装数据汇总分析--俄罗斯'!I53</f>
        <v>#DIV/0!</v>
      </c>
      <c r="J53" s="5" t="e">
        <f>'[2]2026年度男装数据汇总分析--俄罗斯'!J53</f>
        <v>#DIV/0!</v>
      </c>
      <c r="K53" s="5" t="e">
        <f>'[2]2026年度男装数据汇总分析--俄罗斯'!K53</f>
        <v>#DIV/0!</v>
      </c>
      <c r="L53" s="5" t="e">
        <f>'[2]2026年度男装数据汇总分析--俄罗斯'!L53</f>
        <v>#DIV/0!</v>
      </c>
      <c r="M53" s="5" t="e">
        <f>'[2]2026年度男装数据汇总分析--俄罗斯'!M53</f>
        <v>#DIV/0!</v>
      </c>
      <c r="N53" s="5" t="e">
        <f>'[2]2026年度男装数据汇总分析--俄罗斯'!N53</f>
        <v>#DIV/0!</v>
      </c>
      <c r="O53" s="5">
        <f>'[2]2026年度男装数据汇总分析--俄罗斯'!O53</f>
        <v>0.182638180141048</v>
      </c>
    </row>
    <row r="54" s="34" customFormat="1" spans="1:15">
      <c r="A54" s="8" t="str">
        <f>'[2]2026年度男装数据汇总分析--俄罗斯'!A54</f>
        <v>JDTF1店</v>
      </c>
      <c r="B54" s="22" t="str">
        <f>'[2]2026年度男装数据汇总分析--俄罗斯'!B54</f>
        <v>实际利润（人民币）</v>
      </c>
      <c r="C54" s="22">
        <f>'[2]2026年度男装数据汇总分析--俄罗斯'!C54</f>
        <v>69582.72</v>
      </c>
      <c r="D54" s="22">
        <f>'[2]2026年度男装数据汇总分析--俄罗斯'!D54</f>
        <v>29149.31</v>
      </c>
      <c r="E54" s="22">
        <f>'[2]2026年度男装数据汇总分析--俄罗斯'!E54</f>
        <v>-4952.39</v>
      </c>
      <c r="F54" s="22">
        <f>'[2]2026年度男装数据汇总分析--俄罗斯'!F54</f>
        <v>23093.23</v>
      </c>
      <c r="G54" s="22">
        <f>'[2]2026年度男装数据汇总分析--俄罗斯'!G54</f>
        <v>16701</v>
      </c>
      <c r="H54" s="22">
        <f>'[2]2026年度男装数据汇总分析--俄罗斯'!H54</f>
        <v>6770.35</v>
      </c>
      <c r="I54" s="22">
        <f>'[2]2026年度男装数据汇总分析--俄罗斯'!I54</f>
        <v>0</v>
      </c>
      <c r="J54" s="22">
        <f>'[2]2026年度男装数据汇总分析--俄罗斯'!J54</f>
        <v>0</v>
      </c>
      <c r="K54" s="22">
        <f>'[2]2026年度男装数据汇总分析--俄罗斯'!K54</f>
        <v>0</v>
      </c>
      <c r="L54" s="22">
        <f>'[2]2026年度男装数据汇总分析--俄罗斯'!L54</f>
        <v>0</v>
      </c>
      <c r="M54" s="22">
        <f>'[2]2026年度男装数据汇总分析--俄罗斯'!M54</f>
        <v>0</v>
      </c>
      <c r="N54" s="22">
        <f>'[2]2026年度男装数据汇总分析--俄罗斯'!N54</f>
        <v>0</v>
      </c>
      <c r="O54" s="22">
        <f>'[2]2026年度男装数据汇总分析--俄罗斯'!O54</f>
        <v>140344.22</v>
      </c>
    </row>
    <row r="55" s="34" customFormat="1" spans="1:15">
      <c r="A55" s="11">
        <f>'[2]2026年度男装数据汇总分析--俄罗斯'!A55</f>
        <v>0</v>
      </c>
      <c r="B55" s="1" t="str">
        <f>'[2]2026年度男装数据汇总分析--俄罗斯'!B55</f>
        <v>销量完成</v>
      </c>
      <c r="C55" s="1">
        <f>'[2]2026年度男装数据汇总分析--俄罗斯'!C55</f>
        <v>6138</v>
      </c>
      <c r="D55" s="1">
        <f>'[2]2026年度男装数据汇总分析--俄罗斯'!D55</f>
        <v>3931</v>
      </c>
      <c r="E55" s="1">
        <f>'[2]2026年度男装数据汇总分析--俄罗斯'!E55</f>
        <v>2500</v>
      </c>
      <c r="F55" s="1">
        <f>'[2]2026年度男装数据汇总分析--俄罗斯'!F55</f>
        <v>2640</v>
      </c>
      <c r="G55" s="1">
        <f>'[2]2026年度男装数据汇总分析--俄罗斯'!G55</f>
        <v>1367</v>
      </c>
      <c r="H55" s="1">
        <f>'[2]2026年度男装数据汇总分析--俄罗斯'!H55</f>
        <v>300</v>
      </c>
      <c r="I55" s="1">
        <f>'[2]2026年度男装数据汇总分析--俄罗斯'!I55</f>
        <v>0</v>
      </c>
      <c r="J55" s="1">
        <f>'[2]2026年度男装数据汇总分析--俄罗斯'!J55</f>
        <v>0</v>
      </c>
      <c r="K55" s="1">
        <f>'[2]2026年度男装数据汇总分析--俄罗斯'!K55</f>
        <v>0</v>
      </c>
      <c r="L55" s="1">
        <f>'[2]2026年度男装数据汇总分析--俄罗斯'!L55</f>
        <v>0</v>
      </c>
      <c r="M55" s="1">
        <f>'[2]2026年度男装数据汇总分析--俄罗斯'!M55</f>
        <v>0</v>
      </c>
      <c r="N55" s="1">
        <f>'[2]2026年度男装数据汇总分析--俄罗斯'!N55</f>
        <v>0</v>
      </c>
      <c r="O55" s="1">
        <f>'[2]2026年度男装数据汇总分析--俄罗斯'!O55</f>
        <v>16876</v>
      </c>
    </row>
    <row r="56" s="34" customFormat="1" spans="1:15">
      <c r="A56" s="11">
        <f>'[2]2026年度男装数据汇总分析--俄罗斯'!A56</f>
        <v>0</v>
      </c>
      <c r="B56" s="1" t="str">
        <f>'[2]2026年度男装数据汇总分析--俄罗斯'!B56</f>
        <v>实销完成</v>
      </c>
      <c r="C56" s="1">
        <f>'[2]2026年度男装数据汇总分析--俄罗斯'!C56</f>
        <v>2149</v>
      </c>
      <c r="D56" s="1">
        <f>'[2]2026年度男装数据汇总分析--俄罗斯'!D56</f>
        <v>1510</v>
      </c>
      <c r="E56" s="1">
        <f>'[2]2026年度男装数据汇总分析--俄罗斯'!E56</f>
        <v>933</v>
      </c>
      <c r="F56" s="1">
        <f>'[2]2026年度男装数据汇总分析--俄罗斯'!F56</f>
        <v>896</v>
      </c>
      <c r="G56" s="1">
        <f>'[2]2026年度男装数据汇总分析--俄罗斯'!G56</f>
        <v>538</v>
      </c>
      <c r="H56" s="1">
        <f>'[2]2026年度男装数据汇总分析--俄罗斯'!H56</f>
        <v>120</v>
      </c>
      <c r="I56" s="1">
        <f>'[2]2026年度男装数据汇总分析--俄罗斯'!I56</f>
        <v>0</v>
      </c>
      <c r="J56" s="1">
        <f>'[2]2026年度男装数据汇总分析--俄罗斯'!J56</f>
        <v>0</v>
      </c>
      <c r="K56" s="1">
        <f>'[2]2026年度男装数据汇总分析--俄罗斯'!K56</f>
        <v>0</v>
      </c>
      <c r="L56" s="1">
        <f>'[2]2026年度男装数据汇总分析--俄罗斯'!L56</f>
        <v>0</v>
      </c>
      <c r="M56" s="1">
        <f>'[2]2026年度男装数据汇总分析--俄罗斯'!M56</f>
        <v>0</v>
      </c>
      <c r="N56" s="1">
        <f>'[2]2026年度男装数据汇总分析--俄罗斯'!N56</f>
        <v>0</v>
      </c>
      <c r="O56" s="1">
        <f>'[2]2026年度男装数据汇总分析--俄罗斯'!O56</f>
        <v>6146</v>
      </c>
    </row>
    <row r="57" s="34" customFormat="1" spans="1:15">
      <c r="A57" s="11">
        <f>'[2]2026年度男装数据汇总分析--俄罗斯'!A57</f>
        <v>0</v>
      </c>
      <c r="B57" s="22" t="str">
        <f>'[2]2026年度男装数据汇总分析--俄罗斯'!B57</f>
        <v>GMV完成</v>
      </c>
      <c r="C57" s="22">
        <f>'[2]2026年度男装数据汇总分析--俄罗斯'!C57</f>
        <v>1986717.942</v>
      </c>
      <c r="D57" s="22">
        <f>'[2]2026年度男装数据汇总分析--俄罗斯'!D57</f>
        <v>1346880.8889</v>
      </c>
      <c r="E57" s="22">
        <f>'[2]2026年度男装数据汇总分析--俄罗斯'!E57</f>
        <v>917288.5728</v>
      </c>
      <c r="F57" s="22">
        <f>'[2]2026年度男装数据汇总分析--俄罗斯'!F57</f>
        <v>1028856.0636</v>
      </c>
      <c r="G57" s="22">
        <f>'[2]2026年度男装数据汇总分析--俄罗斯'!G57</f>
        <v>525763.644</v>
      </c>
      <c r="H57" s="22">
        <f>'[2]2026年度男装数据汇总分析--俄罗斯'!H57</f>
        <v>115087.674</v>
      </c>
      <c r="I57" s="22">
        <f>'[2]2026年度男装数据汇总分析--俄罗斯'!I57</f>
        <v>0</v>
      </c>
      <c r="J57" s="22">
        <f>'[2]2026年度男装数据汇总分析--俄罗斯'!J57</f>
        <v>0</v>
      </c>
      <c r="K57" s="22">
        <f>'[2]2026年度男装数据汇总分析--俄罗斯'!K57</f>
        <v>0</v>
      </c>
      <c r="L57" s="22">
        <f>'[2]2026年度男装数据汇总分析--俄罗斯'!L57</f>
        <v>0</v>
      </c>
      <c r="M57" s="22">
        <f>'[2]2026年度男装数据汇总分析--俄罗斯'!M57</f>
        <v>0</v>
      </c>
      <c r="N57" s="22">
        <f>'[2]2026年度男装数据汇总分析--俄罗斯'!N57</f>
        <v>0</v>
      </c>
      <c r="O57" s="22">
        <f>'[2]2026年度男装数据汇总分析--俄罗斯'!O57</f>
        <v>5920594.7853</v>
      </c>
    </row>
    <row r="58" s="34" customFormat="1" spans="1:15">
      <c r="A58" s="11">
        <f>'[2]2026年度男装数据汇总分析--俄罗斯'!A58</f>
        <v>0</v>
      </c>
      <c r="B58" s="22" t="str">
        <f>'[2]2026年度男装数据汇总分析--俄罗斯'!B58</f>
        <v>GSV完成</v>
      </c>
      <c r="C58" s="22">
        <f>'[2]2026年度男装数据汇总分析--俄罗斯'!C58</f>
        <v>1006130.59</v>
      </c>
      <c r="D58" s="22">
        <f>'[2]2026年度男装数据汇总分析--俄罗斯'!D58</f>
        <v>496470.44</v>
      </c>
      <c r="E58" s="22">
        <f>'[2]2026年度男装数据汇总分析--俄罗斯'!E58</f>
        <v>313683.19</v>
      </c>
      <c r="F58" s="22">
        <f>'[2]2026年度男装数据汇总分析--俄罗斯'!F58</f>
        <v>309148.93</v>
      </c>
      <c r="G58" s="22">
        <f>'[2]2026年度男装数据汇总分析--俄罗斯'!G58</f>
        <v>179792.9497</v>
      </c>
      <c r="H58" s="22">
        <f>'[2]2026年度男装数据汇总分析--俄罗斯'!H58</f>
        <v>36255.7421</v>
      </c>
      <c r="I58" s="22">
        <f>'[2]2026年度男装数据汇总分析--俄罗斯'!I58</f>
        <v>0</v>
      </c>
      <c r="J58" s="22">
        <f>'[2]2026年度男装数据汇总分析--俄罗斯'!J58</f>
        <v>0</v>
      </c>
      <c r="K58" s="22">
        <f>'[2]2026年度男装数据汇总分析--俄罗斯'!K58</f>
        <v>0</v>
      </c>
      <c r="L58" s="22">
        <f>'[2]2026年度男装数据汇总分析--俄罗斯'!L58</f>
        <v>0</v>
      </c>
      <c r="M58" s="22">
        <f>'[2]2026年度男装数据汇总分析--俄罗斯'!M58</f>
        <v>0</v>
      </c>
      <c r="N58" s="22">
        <f>'[2]2026年度男装数据汇总分析--俄罗斯'!N58</f>
        <v>0</v>
      </c>
      <c r="O58" s="22">
        <f>'[2]2026年度男装数据汇总分析--俄罗斯'!O58</f>
        <v>2341481.8418</v>
      </c>
    </row>
    <row r="59" s="34" customFormat="1" spans="1:15">
      <c r="A59" s="11">
        <f>'[2]2026年度男装数据汇总分析--俄罗斯'!A59</f>
        <v>0</v>
      </c>
      <c r="B59" s="1" t="str">
        <f>'[2]2026年度男装数据汇总分析--俄罗斯'!B59</f>
        <v>退款率</v>
      </c>
      <c r="C59" s="5">
        <f>'[2]2026年度男装数据汇总分析--俄罗斯'!C59</f>
        <v>0.506428501363985</v>
      </c>
      <c r="D59" s="5">
        <f>'[2]2026年度男装数据汇总分析--俄罗斯'!D59</f>
        <v>0.368607531736135</v>
      </c>
      <c r="E59" s="5">
        <f>'[2]2026年度男装数据汇总分析--俄罗斯'!E59</f>
        <v>0.341967837931841</v>
      </c>
      <c r="F59" s="5">
        <f>'[2]2026年度男装数据汇总分析--俄罗斯'!F59</f>
        <v>0.300478308810543</v>
      </c>
      <c r="G59" s="5">
        <f>'[2]2026年度男装数据汇总分析--俄罗斯'!G59</f>
        <v>0.341965352210622</v>
      </c>
      <c r="H59" s="5">
        <f>'[2]2026年度男装数据汇总分析--俄罗斯'!H59</f>
        <v>0.315027151387211</v>
      </c>
      <c r="I59" s="5" t="e">
        <f>'[2]2026年度男装数据汇总分析--俄罗斯'!I59</f>
        <v>#DIV/0!</v>
      </c>
      <c r="J59" s="5" t="e">
        <f>'[2]2026年度男装数据汇总分析--俄罗斯'!J59</f>
        <v>#DIV/0!</v>
      </c>
      <c r="K59" s="5" t="e">
        <f>'[2]2026年度男装数据汇总分析--俄罗斯'!K59</f>
        <v>#DIV/0!</v>
      </c>
      <c r="L59" s="5" t="e">
        <f>'[2]2026年度男装数据汇总分析--俄罗斯'!L59</f>
        <v>#DIV/0!</v>
      </c>
      <c r="M59" s="5" t="e">
        <f>'[2]2026年度男装数据汇总分析--俄罗斯'!M59</f>
        <v>#DIV/0!</v>
      </c>
      <c r="N59" s="5" t="e">
        <f>'[2]2026年度男装数据汇总分析--俄罗斯'!N59</f>
        <v>#DIV/0!</v>
      </c>
      <c r="O59" s="5">
        <f>'[2]2026年度男装数据汇总分析--俄罗斯'!O59</f>
        <v>0.395480847230682</v>
      </c>
    </row>
    <row r="60" s="34" customFormat="1" spans="1:15">
      <c r="A60" s="11">
        <f>'[2]2026年度男装数据汇总分析--俄罗斯'!A60</f>
        <v>0</v>
      </c>
      <c r="B60" s="1" t="str">
        <f>'[2]2026年度男装数据汇总分析--俄罗斯'!B60</f>
        <v>退货率</v>
      </c>
      <c r="C60" s="5">
        <f>'[2]2026年度男装数据汇总分析--俄罗斯'!C60</f>
        <v>0.649885956337569</v>
      </c>
      <c r="D60" s="5">
        <f>'[2]2026年度男装数据汇总分析--俄罗斯'!D60</f>
        <v>0.615873823454592</v>
      </c>
      <c r="E60" s="5">
        <f>'[2]2026年度男装数据汇总分析--俄罗斯'!E60</f>
        <v>0.6268</v>
      </c>
      <c r="F60" s="5">
        <f>'[2]2026年度男装数据汇总分析--俄罗斯'!F60</f>
        <v>0.660606060606061</v>
      </c>
      <c r="G60" s="5">
        <f>'[2]2026年度男装数据汇总分析--俄罗斯'!G60</f>
        <v>0.606437454279444</v>
      </c>
      <c r="H60" s="5">
        <f>'[2]2026年度男装数据汇总分析--俄罗斯'!H60</f>
        <v>0.6</v>
      </c>
      <c r="I60" s="5" t="e">
        <f>'[2]2026年度男装数据汇总分析--俄罗斯'!I60</f>
        <v>#DIV/0!</v>
      </c>
      <c r="J60" s="5" t="e">
        <f>'[2]2026年度男装数据汇总分析--俄罗斯'!J60</f>
        <v>#DIV/0!</v>
      </c>
      <c r="K60" s="5" t="e">
        <f>'[2]2026年度男装数据汇总分析--俄罗斯'!K60</f>
        <v>#DIV/0!</v>
      </c>
      <c r="L60" s="5" t="e">
        <f>'[2]2026年度男装数据汇总分析--俄罗斯'!L60</f>
        <v>#DIV/0!</v>
      </c>
      <c r="M60" s="5" t="e">
        <f>'[2]2026年度男装数据汇总分析--俄罗斯'!M60</f>
        <v>#DIV/0!</v>
      </c>
      <c r="N60" s="5" t="e">
        <f>'[2]2026年度男装数据汇总分析--俄罗斯'!N60</f>
        <v>#DIV/0!</v>
      </c>
      <c r="O60" s="5">
        <f>'[2]2026年度男装数据汇总分析--俄罗斯'!O60</f>
        <v>0.635814173974875</v>
      </c>
    </row>
    <row r="61" s="34" customFormat="1" spans="1:15">
      <c r="A61" s="24">
        <f>'[2]2026年度男装数据汇总分析--俄罗斯'!A61</f>
        <v>0</v>
      </c>
      <c r="B61" s="1" t="str">
        <f>'[2]2026年度男装数据汇总分析--俄罗斯'!B61</f>
        <v>利润率</v>
      </c>
      <c r="C61" s="5">
        <f>'[2]2026年度男装数据汇总分析--俄罗斯'!C61</f>
        <v>0.0691587361437843</v>
      </c>
      <c r="D61" s="5">
        <f>'[2]2026年度男装数据汇总分析--俄罗斯'!D61</f>
        <v>0.0587130826963233</v>
      </c>
      <c r="E61" s="5">
        <f>'[2]2026年度男装数据汇总分析--俄罗斯'!E61</f>
        <v>-0.0157878718333616</v>
      </c>
      <c r="F61" s="5">
        <f>'[2]2026年度男装数据汇总分析--俄罗斯'!F61</f>
        <v>0.074699369006388</v>
      </c>
      <c r="G61" s="5">
        <f>'[2]2026年度男装数据汇总分析--俄罗斯'!G61</f>
        <v>0.0928901830014306</v>
      </c>
      <c r="H61" s="5">
        <f>'[2]2026年度男装数据汇总分析--俄罗斯'!H61</f>
        <v>0.186738695937491</v>
      </c>
      <c r="I61" s="5" t="e">
        <f>'[2]2026年度男装数据汇总分析--俄罗斯'!I61</f>
        <v>#DIV/0!</v>
      </c>
      <c r="J61" s="5" t="e">
        <f>'[2]2026年度男装数据汇总分析--俄罗斯'!J61</f>
        <v>#DIV/0!</v>
      </c>
      <c r="K61" s="5" t="e">
        <f>'[2]2026年度男装数据汇总分析--俄罗斯'!K61</f>
        <v>#DIV/0!</v>
      </c>
      <c r="L61" s="5" t="e">
        <f>'[2]2026年度男装数据汇总分析--俄罗斯'!L61</f>
        <v>#DIV/0!</v>
      </c>
      <c r="M61" s="5" t="e">
        <f>'[2]2026年度男装数据汇总分析--俄罗斯'!M61</f>
        <v>#DIV/0!</v>
      </c>
      <c r="N61" s="5" t="e">
        <f>'[2]2026年度男装数据汇总分析--俄罗斯'!N61</f>
        <v>#DIV/0!</v>
      </c>
      <c r="O61" s="5">
        <f>'[2]2026年度男装数据汇总分析--俄罗斯'!O61</f>
        <v>0.0599382055818597</v>
      </c>
    </row>
    <row r="62" s="34" customFormat="1" spans="1:15">
      <c r="A62" s="8" t="str">
        <f>'[2]2026年度男装数据汇总分析--俄罗斯'!A62</f>
        <v>新店1</v>
      </c>
      <c r="B62" s="1" t="str">
        <f>'[2]2026年度男装数据汇总分析--俄罗斯'!B62</f>
        <v>实际利润（人民币）</v>
      </c>
      <c r="C62" s="1">
        <f>'[2]2026年度男装数据汇总分析--俄罗斯'!C62</f>
        <v>0</v>
      </c>
      <c r="D62" s="1">
        <f>'[2]2026年度男装数据汇总分析--俄罗斯'!D62</f>
        <v>0</v>
      </c>
      <c r="E62" s="1">
        <f>'[2]2026年度男装数据汇总分析--俄罗斯'!E62</f>
        <v>0</v>
      </c>
      <c r="F62" s="1">
        <f>'[2]2026年度男装数据汇总分析--俄罗斯'!F62</f>
        <v>0</v>
      </c>
      <c r="G62" s="1">
        <f>'[2]2026年度男装数据汇总分析--俄罗斯'!G62</f>
        <v>0</v>
      </c>
      <c r="H62" s="1">
        <f>'[2]2026年度男装数据汇总分析--俄罗斯'!H62</f>
        <v>0</v>
      </c>
      <c r="I62" s="1">
        <f>'[2]2026年度男装数据汇总分析--俄罗斯'!I62</f>
        <v>0</v>
      </c>
      <c r="J62" s="1">
        <f>'[2]2026年度男装数据汇总分析--俄罗斯'!J62</f>
        <v>0</v>
      </c>
      <c r="K62" s="1">
        <f>'[2]2026年度男装数据汇总分析--俄罗斯'!K62</f>
        <v>0</v>
      </c>
      <c r="L62" s="1">
        <f>'[2]2026年度男装数据汇总分析--俄罗斯'!L62</f>
        <v>0</v>
      </c>
      <c r="M62" s="1">
        <f>'[2]2026年度男装数据汇总分析--俄罗斯'!M62</f>
        <v>0</v>
      </c>
      <c r="N62" s="1">
        <f>'[2]2026年度男装数据汇总分析--俄罗斯'!N62</f>
        <v>0</v>
      </c>
      <c r="O62" s="1">
        <f>'[2]2026年度男装数据汇总分析--俄罗斯'!O62</f>
        <v>0</v>
      </c>
    </row>
    <row r="63" s="34" customFormat="1" spans="1:15">
      <c r="A63" s="11">
        <f>'[2]2026年度男装数据汇总分析--俄罗斯'!A63</f>
        <v>0</v>
      </c>
      <c r="B63" s="1" t="str">
        <f>'[2]2026年度男装数据汇总分析--俄罗斯'!B63</f>
        <v>销量完成</v>
      </c>
      <c r="C63" s="1">
        <f>'[2]2026年度男装数据汇总分析--俄罗斯'!C63</f>
        <v>0</v>
      </c>
      <c r="D63" s="1">
        <f>'[2]2026年度男装数据汇总分析--俄罗斯'!D63</f>
        <v>0</v>
      </c>
      <c r="E63" s="1">
        <f>'[2]2026年度男装数据汇总分析--俄罗斯'!E63</f>
        <v>0</v>
      </c>
      <c r="F63" s="1">
        <f>'[2]2026年度男装数据汇总分析--俄罗斯'!F63</f>
        <v>0</v>
      </c>
      <c r="G63" s="1">
        <f>'[2]2026年度男装数据汇总分析--俄罗斯'!G63</f>
        <v>0</v>
      </c>
      <c r="H63" s="1">
        <f>'[2]2026年度男装数据汇总分析--俄罗斯'!H63</f>
        <v>0</v>
      </c>
      <c r="I63" s="1">
        <f>'[2]2026年度男装数据汇总分析--俄罗斯'!I63</f>
        <v>0</v>
      </c>
      <c r="J63" s="1">
        <f>'[2]2026年度男装数据汇总分析--俄罗斯'!J63</f>
        <v>0</v>
      </c>
      <c r="K63" s="1">
        <f>'[2]2026年度男装数据汇总分析--俄罗斯'!K63</f>
        <v>0</v>
      </c>
      <c r="L63" s="1">
        <f>'[2]2026年度男装数据汇总分析--俄罗斯'!L63</f>
        <v>0</v>
      </c>
      <c r="M63" s="1">
        <f>'[2]2026年度男装数据汇总分析--俄罗斯'!M63</f>
        <v>0</v>
      </c>
      <c r="N63" s="1">
        <f>'[2]2026年度男装数据汇总分析--俄罗斯'!N63</f>
        <v>0</v>
      </c>
      <c r="O63" s="1">
        <f>'[2]2026年度男装数据汇总分析--俄罗斯'!O63</f>
        <v>0</v>
      </c>
    </row>
    <row r="64" s="34" customFormat="1" spans="1:15">
      <c r="A64" s="11">
        <f>'[2]2026年度男装数据汇总分析--俄罗斯'!A64</f>
        <v>0</v>
      </c>
      <c r="B64" s="1" t="str">
        <f>'[2]2026年度男装数据汇总分析--俄罗斯'!B64</f>
        <v>实销完成</v>
      </c>
      <c r="C64" s="1">
        <f>'[2]2026年度男装数据汇总分析--俄罗斯'!C64</f>
        <v>0</v>
      </c>
      <c r="D64" s="1">
        <f>'[2]2026年度男装数据汇总分析--俄罗斯'!D64</f>
        <v>0</v>
      </c>
      <c r="E64" s="1">
        <f>'[2]2026年度男装数据汇总分析--俄罗斯'!E64</f>
        <v>0</v>
      </c>
      <c r="F64" s="1">
        <f>'[2]2026年度男装数据汇总分析--俄罗斯'!F64</f>
        <v>0</v>
      </c>
      <c r="G64" s="1">
        <f>'[2]2026年度男装数据汇总分析--俄罗斯'!G64</f>
        <v>0</v>
      </c>
      <c r="H64" s="1">
        <f>'[2]2026年度男装数据汇总分析--俄罗斯'!H64</f>
        <v>0</v>
      </c>
      <c r="I64" s="1">
        <f>'[2]2026年度男装数据汇总分析--俄罗斯'!I64</f>
        <v>0</v>
      </c>
      <c r="J64" s="1">
        <f>'[2]2026年度男装数据汇总分析--俄罗斯'!J64</f>
        <v>0</v>
      </c>
      <c r="K64" s="1">
        <f>'[2]2026年度男装数据汇总分析--俄罗斯'!K64</f>
        <v>0</v>
      </c>
      <c r="L64" s="1">
        <f>'[2]2026年度男装数据汇总分析--俄罗斯'!L64</f>
        <v>0</v>
      </c>
      <c r="M64" s="1">
        <f>'[2]2026年度男装数据汇总分析--俄罗斯'!M64</f>
        <v>0</v>
      </c>
      <c r="N64" s="1">
        <f>'[2]2026年度男装数据汇总分析--俄罗斯'!N64</f>
        <v>0</v>
      </c>
      <c r="O64" s="1">
        <f>'[2]2026年度男装数据汇总分析--俄罗斯'!O64</f>
        <v>0</v>
      </c>
    </row>
    <row r="65" s="34" customFormat="1" spans="1:15">
      <c r="A65" s="11">
        <f>'[2]2026年度男装数据汇总分析--俄罗斯'!A65</f>
        <v>0</v>
      </c>
      <c r="B65" s="1" t="str">
        <f>'[2]2026年度男装数据汇总分析--俄罗斯'!B65</f>
        <v>GMV完成</v>
      </c>
      <c r="C65" s="1">
        <f>'[2]2026年度男装数据汇总分析--俄罗斯'!C65</f>
        <v>0</v>
      </c>
      <c r="D65" s="1">
        <f>'[2]2026年度男装数据汇总分析--俄罗斯'!D65</f>
        <v>0</v>
      </c>
      <c r="E65" s="1">
        <f>'[2]2026年度男装数据汇总分析--俄罗斯'!E65</f>
        <v>0</v>
      </c>
      <c r="F65" s="1">
        <f>'[2]2026年度男装数据汇总分析--俄罗斯'!F65</f>
        <v>0</v>
      </c>
      <c r="G65" s="1">
        <f>'[2]2026年度男装数据汇总分析--俄罗斯'!G65</f>
        <v>0</v>
      </c>
      <c r="H65" s="1">
        <f>'[2]2026年度男装数据汇总分析--俄罗斯'!H65</f>
        <v>0</v>
      </c>
      <c r="I65" s="1">
        <f>'[2]2026年度男装数据汇总分析--俄罗斯'!I65</f>
        <v>0</v>
      </c>
      <c r="J65" s="1">
        <f>'[2]2026年度男装数据汇总分析--俄罗斯'!J65</f>
        <v>0</v>
      </c>
      <c r="K65" s="1">
        <f>'[2]2026年度男装数据汇总分析--俄罗斯'!K65</f>
        <v>0</v>
      </c>
      <c r="L65" s="1">
        <f>'[2]2026年度男装数据汇总分析--俄罗斯'!L65</f>
        <v>0</v>
      </c>
      <c r="M65" s="1">
        <f>'[2]2026年度男装数据汇总分析--俄罗斯'!M65</f>
        <v>0</v>
      </c>
      <c r="N65" s="1">
        <f>'[2]2026年度男装数据汇总分析--俄罗斯'!N65</f>
        <v>0</v>
      </c>
      <c r="O65" s="1">
        <f>'[2]2026年度男装数据汇总分析--俄罗斯'!O65</f>
        <v>0</v>
      </c>
    </row>
    <row r="66" s="34" customFormat="1" spans="1:15">
      <c r="A66" s="11">
        <f>'[2]2026年度男装数据汇总分析--俄罗斯'!A66</f>
        <v>0</v>
      </c>
      <c r="B66" s="1" t="str">
        <f>'[2]2026年度男装数据汇总分析--俄罗斯'!B66</f>
        <v>GSV完成</v>
      </c>
      <c r="C66" s="1">
        <f>'[2]2026年度男装数据汇总分析--俄罗斯'!C66</f>
        <v>0</v>
      </c>
      <c r="D66" s="1">
        <f>'[2]2026年度男装数据汇总分析--俄罗斯'!D66</f>
        <v>0</v>
      </c>
      <c r="E66" s="1">
        <f>'[2]2026年度男装数据汇总分析--俄罗斯'!E66</f>
        <v>0</v>
      </c>
      <c r="F66" s="1">
        <f>'[2]2026年度男装数据汇总分析--俄罗斯'!F66</f>
        <v>0</v>
      </c>
      <c r="G66" s="1">
        <f>'[2]2026年度男装数据汇总分析--俄罗斯'!G66</f>
        <v>0</v>
      </c>
      <c r="H66" s="1">
        <f>'[2]2026年度男装数据汇总分析--俄罗斯'!H66</f>
        <v>0</v>
      </c>
      <c r="I66" s="1">
        <f>'[2]2026年度男装数据汇总分析--俄罗斯'!I66</f>
        <v>0</v>
      </c>
      <c r="J66" s="1">
        <f>'[2]2026年度男装数据汇总分析--俄罗斯'!J66</f>
        <v>0</v>
      </c>
      <c r="K66" s="1">
        <f>'[2]2026年度男装数据汇总分析--俄罗斯'!K66</f>
        <v>0</v>
      </c>
      <c r="L66" s="1">
        <f>'[2]2026年度男装数据汇总分析--俄罗斯'!L66</f>
        <v>0</v>
      </c>
      <c r="M66" s="1">
        <f>'[2]2026年度男装数据汇总分析--俄罗斯'!M66</f>
        <v>0</v>
      </c>
      <c r="N66" s="1">
        <f>'[2]2026年度男装数据汇总分析--俄罗斯'!N66</f>
        <v>0</v>
      </c>
      <c r="O66" s="1">
        <f>'[2]2026年度男装数据汇总分析--俄罗斯'!O66</f>
        <v>0</v>
      </c>
    </row>
    <row r="67" s="34" customFormat="1" spans="1:15">
      <c r="A67" s="11">
        <f>'[2]2026年度男装数据汇总分析--俄罗斯'!A67</f>
        <v>0</v>
      </c>
      <c r="B67" s="1" t="str">
        <f>'[2]2026年度男装数据汇总分析--俄罗斯'!B67</f>
        <v>退款率</v>
      </c>
      <c r="C67" s="5" t="e">
        <f>'[2]2026年度男装数据汇总分析--俄罗斯'!C67</f>
        <v>#DIV/0!</v>
      </c>
      <c r="D67" s="5" t="e">
        <f>'[2]2026年度男装数据汇总分析--俄罗斯'!D67</f>
        <v>#DIV/0!</v>
      </c>
      <c r="E67" s="5" t="e">
        <f>'[2]2026年度男装数据汇总分析--俄罗斯'!E67</f>
        <v>#DIV/0!</v>
      </c>
      <c r="F67" s="5" t="e">
        <f>'[2]2026年度男装数据汇总分析--俄罗斯'!F67</f>
        <v>#DIV/0!</v>
      </c>
      <c r="G67" s="5" t="e">
        <f>'[2]2026年度男装数据汇总分析--俄罗斯'!G67</f>
        <v>#DIV/0!</v>
      </c>
      <c r="H67" s="5" t="e">
        <f>'[2]2026年度男装数据汇总分析--俄罗斯'!H67</f>
        <v>#DIV/0!</v>
      </c>
      <c r="I67" s="5" t="e">
        <f>'[2]2026年度男装数据汇总分析--俄罗斯'!I67</f>
        <v>#DIV/0!</v>
      </c>
      <c r="J67" s="5" t="e">
        <f>'[2]2026年度男装数据汇总分析--俄罗斯'!J67</f>
        <v>#DIV/0!</v>
      </c>
      <c r="K67" s="5" t="e">
        <f>'[2]2026年度男装数据汇总分析--俄罗斯'!K67</f>
        <v>#DIV/0!</v>
      </c>
      <c r="L67" s="5" t="e">
        <f>'[2]2026年度男装数据汇总分析--俄罗斯'!L67</f>
        <v>#DIV/0!</v>
      </c>
      <c r="M67" s="5" t="e">
        <f>'[2]2026年度男装数据汇总分析--俄罗斯'!M67</f>
        <v>#DIV/0!</v>
      </c>
      <c r="N67" s="5" t="e">
        <f>'[2]2026年度男装数据汇总分析--俄罗斯'!N67</f>
        <v>#DIV/0!</v>
      </c>
      <c r="O67" s="5" t="e">
        <f>'[2]2026年度男装数据汇总分析--俄罗斯'!O67</f>
        <v>#DIV/0!</v>
      </c>
    </row>
    <row r="68" s="34" customFormat="1" spans="1:15">
      <c r="A68" s="11">
        <f>'[2]2026年度男装数据汇总分析--俄罗斯'!A68</f>
        <v>0</v>
      </c>
      <c r="B68" s="1" t="str">
        <f>'[2]2026年度男装数据汇总分析--俄罗斯'!B68</f>
        <v>退货率</v>
      </c>
      <c r="C68" s="5" t="e">
        <f>'[2]2026年度男装数据汇总分析--俄罗斯'!C68</f>
        <v>#DIV/0!</v>
      </c>
      <c r="D68" s="5" t="e">
        <f>'[2]2026年度男装数据汇总分析--俄罗斯'!D68</f>
        <v>#DIV/0!</v>
      </c>
      <c r="E68" s="5" t="e">
        <f>'[2]2026年度男装数据汇总分析--俄罗斯'!E68</f>
        <v>#DIV/0!</v>
      </c>
      <c r="F68" s="5" t="e">
        <f>'[2]2026年度男装数据汇总分析--俄罗斯'!F68</f>
        <v>#DIV/0!</v>
      </c>
      <c r="G68" s="5" t="e">
        <f>'[2]2026年度男装数据汇总分析--俄罗斯'!G68</f>
        <v>#DIV/0!</v>
      </c>
      <c r="H68" s="5" t="e">
        <f>'[2]2026年度男装数据汇总分析--俄罗斯'!H68</f>
        <v>#DIV/0!</v>
      </c>
      <c r="I68" s="5" t="e">
        <f>'[2]2026年度男装数据汇总分析--俄罗斯'!I68</f>
        <v>#DIV/0!</v>
      </c>
      <c r="J68" s="5" t="e">
        <f>'[2]2026年度男装数据汇总分析--俄罗斯'!J68</f>
        <v>#DIV/0!</v>
      </c>
      <c r="K68" s="5" t="e">
        <f>'[2]2026年度男装数据汇总分析--俄罗斯'!K68</f>
        <v>#DIV/0!</v>
      </c>
      <c r="L68" s="5" t="e">
        <f>'[2]2026年度男装数据汇总分析--俄罗斯'!L68</f>
        <v>#DIV/0!</v>
      </c>
      <c r="M68" s="5" t="e">
        <f>'[2]2026年度男装数据汇总分析--俄罗斯'!M68</f>
        <v>#DIV/0!</v>
      </c>
      <c r="N68" s="5" t="e">
        <f>'[2]2026年度男装数据汇总分析--俄罗斯'!N68</f>
        <v>#DIV/0!</v>
      </c>
      <c r="O68" s="5" t="e">
        <f>'[2]2026年度男装数据汇总分析--俄罗斯'!O68</f>
        <v>#DIV/0!</v>
      </c>
    </row>
    <row r="69" s="34" customFormat="1" spans="1:15">
      <c r="A69" s="24">
        <f>'[2]2026年度男装数据汇总分析--俄罗斯'!A69</f>
        <v>0</v>
      </c>
      <c r="B69" s="1" t="str">
        <f>'[2]2026年度男装数据汇总分析--俄罗斯'!B69</f>
        <v>利润率</v>
      </c>
      <c r="C69" s="5" t="e">
        <f>'[2]2026年度男装数据汇总分析--俄罗斯'!C69</f>
        <v>#DIV/0!</v>
      </c>
      <c r="D69" s="5" t="e">
        <f>'[2]2026年度男装数据汇总分析--俄罗斯'!D69</f>
        <v>#DIV/0!</v>
      </c>
      <c r="E69" s="5" t="e">
        <f>'[2]2026年度男装数据汇总分析--俄罗斯'!E69</f>
        <v>#DIV/0!</v>
      </c>
      <c r="F69" s="5" t="e">
        <f>'[2]2026年度男装数据汇总分析--俄罗斯'!F69</f>
        <v>#DIV/0!</v>
      </c>
      <c r="G69" s="5" t="e">
        <f>'[2]2026年度男装数据汇总分析--俄罗斯'!G69</f>
        <v>#DIV/0!</v>
      </c>
      <c r="H69" s="5" t="e">
        <f>'[2]2026年度男装数据汇总分析--俄罗斯'!H69</f>
        <v>#DIV/0!</v>
      </c>
      <c r="I69" s="5" t="e">
        <f>'[2]2026年度男装数据汇总分析--俄罗斯'!I69</f>
        <v>#DIV/0!</v>
      </c>
      <c r="J69" s="5" t="e">
        <f>'[2]2026年度男装数据汇总分析--俄罗斯'!J69</f>
        <v>#DIV/0!</v>
      </c>
      <c r="K69" s="5" t="e">
        <f>'[2]2026年度男装数据汇总分析--俄罗斯'!K69</f>
        <v>#DIV/0!</v>
      </c>
      <c r="L69" s="5" t="e">
        <f>'[2]2026年度男装数据汇总分析--俄罗斯'!L69</f>
        <v>#DIV/0!</v>
      </c>
      <c r="M69" s="5" t="e">
        <f>'[2]2026年度男装数据汇总分析--俄罗斯'!M69</f>
        <v>#DIV/0!</v>
      </c>
      <c r="N69" s="5" t="e">
        <f>'[2]2026年度男装数据汇总分析--俄罗斯'!N69</f>
        <v>#DIV/0!</v>
      </c>
      <c r="O69" s="5" t="e">
        <f>'[2]2026年度男装数据汇总分析--俄罗斯'!O69</f>
        <v>#DIV/0!</v>
      </c>
    </row>
    <row r="70" s="34" customFormat="1" spans="1:15">
      <c r="A70" s="8" t="str">
        <f>'[2]2026年度男装数据汇总分析--俄罗斯'!A70</f>
        <v>新店2</v>
      </c>
      <c r="B70" s="1" t="str">
        <f>'[2]2026年度男装数据汇总分析--俄罗斯'!B70</f>
        <v>实际利润（人民币）</v>
      </c>
      <c r="C70" s="1">
        <f>'[2]2026年度男装数据汇总分析--俄罗斯'!C70</f>
        <v>0</v>
      </c>
      <c r="D70" s="1">
        <f>'[2]2026年度男装数据汇总分析--俄罗斯'!D70</f>
        <v>0</v>
      </c>
      <c r="E70" s="1">
        <f>'[2]2026年度男装数据汇总分析--俄罗斯'!E70</f>
        <v>0</v>
      </c>
      <c r="F70" s="1">
        <f>'[2]2026年度男装数据汇总分析--俄罗斯'!F70</f>
        <v>0</v>
      </c>
      <c r="G70" s="1">
        <f>'[2]2026年度男装数据汇总分析--俄罗斯'!G70</f>
        <v>0</v>
      </c>
      <c r="H70" s="1">
        <f>'[2]2026年度男装数据汇总分析--俄罗斯'!H70</f>
        <v>0</v>
      </c>
      <c r="I70" s="1">
        <f>'[2]2026年度男装数据汇总分析--俄罗斯'!I70</f>
        <v>0</v>
      </c>
      <c r="J70" s="1">
        <f>'[2]2026年度男装数据汇总分析--俄罗斯'!J70</f>
        <v>0</v>
      </c>
      <c r="K70" s="1">
        <f>'[2]2026年度男装数据汇总分析--俄罗斯'!K70</f>
        <v>0</v>
      </c>
      <c r="L70" s="1">
        <f>'[2]2026年度男装数据汇总分析--俄罗斯'!L70</f>
        <v>0</v>
      </c>
      <c r="M70" s="1">
        <f>'[2]2026年度男装数据汇总分析--俄罗斯'!M70</f>
        <v>0</v>
      </c>
      <c r="N70" s="1">
        <f>'[2]2026年度男装数据汇总分析--俄罗斯'!N70</f>
        <v>0</v>
      </c>
      <c r="O70" s="1">
        <f>'[2]2026年度男装数据汇总分析--俄罗斯'!O70</f>
        <v>0</v>
      </c>
    </row>
    <row r="71" s="34" customFormat="1" spans="1:15">
      <c r="A71" s="11">
        <f>'[2]2026年度男装数据汇总分析--俄罗斯'!A71</f>
        <v>0</v>
      </c>
      <c r="B71" s="1" t="str">
        <f>'[2]2026年度男装数据汇总分析--俄罗斯'!B71</f>
        <v>销量完成</v>
      </c>
      <c r="C71" s="1">
        <f>'[2]2026年度男装数据汇总分析--俄罗斯'!C71</f>
        <v>0</v>
      </c>
      <c r="D71" s="1">
        <f>'[2]2026年度男装数据汇总分析--俄罗斯'!D71</f>
        <v>0</v>
      </c>
      <c r="E71" s="1">
        <f>'[2]2026年度男装数据汇总分析--俄罗斯'!E71</f>
        <v>0</v>
      </c>
      <c r="F71" s="1">
        <f>'[2]2026年度男装数据汇总分析--俄罗斯'!F71</f>
        <v>0</v>
      </c>
      <c r="G71" s="1">
        <f>'[2]2026年度男装数据汇总分析--俄罗斯'!G71</f>
        <v>0</v>
      </c>
      <c r="H71" s="1">
        <f>'[2]2026年度男装数据汇总分析--俄罗斯'!H71</f>
        <v>0</v>
      </c>
      <c r="I71" s="1">
        <f>'[2]2026年度男装数据汇总分析--俄罗斯'!I71</f>
        <v>0</v>
      </c>
      <c r="J71" s="1">
        <f>'[2]2026年度男装数据汇总分析--俄罗斯'!J71</f>
        <v>0</v>
      </c>
      <c r="K71" s="1">
        <f>'[2]2026年度男装数据汇总分析--俄罗斯'!K71</f>
        <v>0</v>
      </c>
      <c r="L71" s="1">
        <f>'[2]2026年度男装数据汇总分析--俄罗斯'!L71</f>
        <v>0</v>
      </c>
      <c r="M71" s="1">
        <f>'[2]2026年度男装数据汇总分析--俄罗斯'!M71</f>
        <v>0</v>
      </c>
      <c r="N71" s="1">
        <f>'[2]2026年度男装数据汇总分析--俄罗斯'!N71</f>
        <v>0</v>
      </c>
      <c r="O71" s="1">
        <f>'[2]2026年度男装数据汇总分析--俄罗斯'!O71</f>
        <v>0</v>
      </c>
    </row>
    <row r="72" s="34" customFormat="1" spans="1:15">
      <c r="A72" s="11">
        <f>'[2]2026年度男装数据汇总分析--俄罗斯'!A72</f>
        <v>0</v>
      </c>
      <c r="B72" s="1" t="str">
        <f>'[2]2026年度男装数据汇总分析--俄罗斯'!B72</f>
        <v>实销完成</v>
      </c>
      <c r="C72" s="1">
        <f>'[2]2026年度男装数据汇总分析--俄罗斯'!C72</f>
        <v>0</v>
      </c>
      <c r="D72" s="1">
        <f>'[2]2026年度男装数据汇总分析--俄罗斯'!D72</f>
        <v>0</v>
      </c>
      <c r="E72" s="1">
        <f>'[2]2026年度男装数据汇总分析--俄罗斯'!E72</f>
        <v>0</v>
      </c>
      <c r="F72" s="1">
        <f>'[2]2026年度男装数据汇总分析--俄罗斯'!F72</f>
        <v>0</v>
      </c>
      <c r="G72" s="1">
        <f>'[2]2026年度男装数据汇总分析--俄罗斯'!G72</f>
        <v>0</v>
      </c>
      <c r="H72" s="1">
        <f>'[2]2026年度男装数据汇总分析--俄罗斯'!H72</f>
        <v>0</v>
      </c>
      <c r="I72" s="1">
        <f>'[2]2026年度男装数据汇总分析--俄罗斯'!I72</f>
        <v>0</v>
      </c>
      <c r="J72" s="1">
        <f>'[2]2026年度男装数据汇总分析--俄罗斯'!J72</f>
        <v>0</v>
      </c>
      <c r="K72" s="1">
        <f>'[2]2026年度男装数据汇总分析--俄罗斯'!K72</f>
        <v>0</v>
      </c>
      <c r="L72" s="1">
        <f>'[2]2026年度男装数据汇总分析--俄罗斯'!L72</f>
        <v>0</v>
      </c>
      <c r="M72" s="1">
        <f>'[2]2026年度男装数据汇总分析--俄罗斯'!M72</f>
        <v>0</v>
      </c>
      <c r="N72" s="1">
        <f>'[2]2026年度男装数据汇总分析--俄罗斯'!N72</f>
        <v>0</v>
      </c>
      <c r="O72" s="1">
        <f>'[2]2026年度男装数据汇总分析--俄罗斯'!O72</f>
        <v>0</v>
      </c>
    </row>
    <row r="73" s="34" customFormat="1" spans="1:15">
      <c r="A73" s="11">
        <f>'[2]2026年度男装数据汇总分析--俄罗斯'!A73</f>
        <v>0</v>
      </c>
      <c r="B73" s="1" t="str">
        <f>'[2]2026年度男装数据汇总分析--俄罗斯'!B73</f>
        <v>GMV完成</v>
      </c>
      <c r="C73" s="1">
        <f>'[2]2026年度男装数据汇总分析--俄罗斯'!C73</f>
        <v>0</v>
      </c>
      <c r="D73" s="1">
        <f>'[2]2026年度男装数据汇总分析--俄罗斯'!D73</f>
        <v>0</v>
      </c>
      <c r="E73" s="1">
        <f>'[2]2026年度男装数据汇总分析--俄罗斯'!E73</f>
        <v>0</v>
      </c>
      <c r="F73" s="1">
        <f>'[2]2026年度男装数据汇总分析--俄罗斯'!F73</f>
        <v>0</v>
      </c>
      <c r="G73" s="1">
        <f>'[2]2026年度男装数据汇总分析--俄罗斯'!G73</f>
        <v>0</v>
      </c>
      <c r="H73" s="1">
        <f>'[2]2026年度男装数据汇总分析--俄罗斯'!H73</f>
        <v>0</v>
      </c>
      <c r="I73" s="1">
        <f>'[2]2026年度男装数据汇总分析--俄罗斯'!I73</f>
        <v>0</v>
      </c>
      <c r="J73" s="1">
        <f>'[2]2026年度男装数据汇总分析--俄罗斯'!J73</f>
        <v>0</v>
      </c>
      <c r="K73" s="1">
        <f>'[2]2026年度男装数据汇总分析--俄罗斯'!K73</f>
        <v>0</v>
      </c>
      <c r="L73" s="1">
        <f>'[2]2026年度男装数据汇总分析--俄罗斯'!L73</f>
        <v>0</v>
      </c>
      <c r="M73" s="1">
        <f>'[2]2026年度男装数据汇总分析--俄罗斯'!M73</f>
        <v>0</v>
      </c>
      <c r="N73" s="1">
        <f>'[2]2026年度男装数据汇总分析--俄罗斯'!N73</f>
        <v>0</v>
      </c>
      <c r="O73" s="1">
        <f>'[2]2026年度男装数据汇总分析--俄罗斯'!O73</f>
        <v>0</v>
      </c>
    </row>
    <row r="74" s="34" customFormat="1" spans="1:15">
      <c r="A74" s="11">
        <f>'[2]2026年度男装数据汇总分析--俄罗斯'!A74</f>
        <v>0</v>
      </c>
      <c r="B74" s="1" t="str">
        <f>'[2]2026年度男装数据汇总分析--俄罗斯'!B74</f>
        <v>GSV完成</v>
      </c>
      <c r="C74" s="1">
        <f>'[2]2026年度男装数据汇总分析--俄罗斯'!C74</f>
        <v>0</v>
      </c>
      <c r="D74" s="1">
        <f>'[2]2026年度男装数据汇总分析--俄罗斯'!D74</f>
        <v>0</v>
      </c>
      <c r="E74" s="1">
        <f>'[2]2026年度男装数据汇总分析--俄罗斯'!E74</f>
        <v>0</v>
      </c>
      <c r="F74" s="1">
        <f>'[2]2026年度男装数据汇总分析--俄罗斯'!F74</f>
        <v>0</v>
      </c>
      <c r="G74" s="1">
        <f>'[2]2026年度男装数据汇总分析--俄罗斯'!G74</f>
        <v>0</v>
      </c>
      <c r="H74" s="1">
        <f>'[2]2026年度男装数据汇总分析--俄罗斯'!H74</f>
        <v>0</v>
      </c>
      <c r="I74" s="1">
        <f>'[2]2026年度男装数据汇总分析--俄罗斯'!I74</f>
        <v>0</v>
      </c>
      <c r="J74" s="1">
        <f>'[2]2026年度男装数据汇总分析--俄罗斯'!J74</f>
        <v>0</v>
      </c>
      <c r="K74" s="1">
        <f>'[2]2026年度男装数据汇总分析--俄罗斯'!K74</f>
        <v>0</v>
      </c>
      <c r="L74" s="1">
        <f>'[2]2026年度男装数据汇总分析--俄罗斯'!L74</f>
        <v>0</v>
      </c>
      <c r="M74" s="1">
        <f>'[2]2026年度男装数据汇总分析--俄罗斯'!M74</f>
        <v>0</v>
      </c>
      <c r="N74" s="1">
        <f>'[2]2026年度男装数据汇总分析--俄罗斯'!N74</f>
        <v>0</v>
      </c>
      <c r="O74" s="1">
        <f>'[2]2026年度男装数据汇总分析--俄罗斯'!O74</f>
        <v>0</v>
      </c>
    </row>
    <row r="75" s="34" customFormat="1" spans="1:15">
      <c r="A75" s="11">
        <f>'[2]2026年度男装数据汇总分析--俄罗斯'!A75</f>
        <v>0</v>
      </c>
      <c r="B75" s="1" t="str">
        <f>'[2]2026年度男装数据汇总分析--俄罗斯'!B75</f>
        <v>退款率</v>
      </c>
      <c r="C75" s="5" t="e">
        <f>'[2]2026年度男装数据汇总分析--俄罗斯'!C75</f>
        <v>#DIV/0!</v>
      </c>
      <c r="D75" s="5" t="e">
        <f>'[2]2026年度男装数据汇总分析--俄罗斯'!D75</f>
        <v>#DIV/0!</v>
      </c>
      <c r="E75" s="5" t="e">
        <f>'[2]2026年度男装数据汇总分析--俄罗斯'!E75</f>
        <v>#DIV/0!</v>
      </c>
      <c r="F75" s="5" t="e">
        <f>'[2]2026年度男装数据汇总分析--俄罗斯'!F75</f>
        <v>#DIV/0!</v>
      </c>
      <c r="G75" s="5" t="e">
        <f>'[2]2026年度男装数据汇总分析--俄罗斯'!G75</f>
        <v>#DIV/0!</v>
      </c>
      <c r="H75" s="5" t="e">
        <f>'[2]2026年度男装数据汇总分析--俄罗斯'!H75</f>
        <v>#DIV/0!</v>
      </c>
      <c r="I75" s="5" t="e">
        <f>'[2]2026年度男装数据汇总分析--俄罗斯'!I75</f>
        <v>#DIV/0!</v>
      </c>
      <c r="J75" s="5" t="e">
        <f>'[2]2026年度男装数据汇总分析--俄罗斯'!J75</f>
        <v>#DIV/0!</v>
      </c>
      <c r="K75" s="5" t="e">
        <f>'[2]2026年度男装数据汇总分析--俄罗斯'!K75</f>
        <v>#DIV/0!</v>
      </c>
      <c r="L75" s="5" t="e">
        <f>'[2]2026年度男装数据汇总分析--俄罗斯'!L75</f>
        <v>#DIV/0!</v>
      </c>
      <c r="M75" s="5" t="e">
        <f>'[2]2026年度男装数据汇总分析--俄罗斯'!M75</f>
        <v>#DIV/0!</v>
      </c>
      <c r="N75" s="5" t="e">
        <f>'[2]2026年度男装数据汇总分析--俄罗斯'!N75</f>
        <v>#DIV/0!</v>
      </c>
      <c r="O75" s="5" t="e">
        <f>'[2]2026年度男装数据汇总分析--俄罗斯'!O75</f>
        <v>#DIV/0!</v>
      </c>
    </row>
    <row r="76" s="34" customFormat="1" spans="1:15">
      <c r="A76" s="11">
        <f>'[2]2026年度男装数据汇总分析--俄罗斯'!A76</f>
        <v>0</v>
      </c>
      <c r="B76" s="1" t="str">
        <f>'[2]2026年度男装数据汇总分析--俄罗斯'!B76</f>
        <v>退货率</v>
      </c>
      <c r="C76" s="5" t="e">
        <f>'[2]2026年度男装数据汇总分析--俄罗斯'!C76</f>
        <v>#DIV/0!</v>
      </c>
      <c r="D76" s="5" t="e">
        <f>'[2]2026年度男装数据汇总分析--俄罗斯'!D76</f>
        <v>#DIV/0!</v>
      </c>
      <c r="E76" s="5" t="e">
        <f>'[2]2026年度男装数据汇总分析--俄罗斯'!E76</f>
        <v>#DIV/0!</v>
      </c>
      <c r="F76" s="5" t="e">
        <f>'[2]2026年度男装数据汇总分析--俄罗斯'!F76</f>
        <v>#DIV/0!</v>
      </c>
      <c r="G76" s="5" t="e">
        <f>'[2]2026年度男装数据汇总分析--俄罗斯'!G76</f>
        <v>#DIV/0!</v>
      </c>
      <c r="H76" s="5" t="e">
        <f>'[2]2026年度男装数据汇总分析--俄罗斯'!H76</f>
        <v>#DIV/0!</v>
      </c>
      <c r="I76" s="5" t="e">
        <f>'[2]2026年度男装数据汇总分析--俄罗斯'!I76</f>
        <v>#DIV/0!</v>
      </c>
      <c r="J76" s="5" t="e">
        <f>'[2]2026年度男装数据汇总分析--俄罗斯'!J76</f>
        <v>#DIV/0!</v>
      </c>
      <c r="K76" s="5" t="e">
        <f>'[2]2026年度男装数据汇总分析--俄罗斯'!K76</f>
        <v>#DIV/0!</v>
      </c>
      <c r="L76" s="5" t="e">
        <f>'[2]2026年度男装数据汇总分析--俄罗斯'!L76</f>
        <v>#DIV/0!</v>
      </c>
      <c r="M76" s="5" t="e">
        <f>'[2]2026年度男装数据汇总分析--俄罗斯'!M76</f>
        <v>#DIV/0!</v>
      </c>
      <c r="N76" s="5" t="e">
        <f>'[2]2026年度男装数据汇总分析--俄罗斯'!N76</f>
        <v>#DIV/0!</v>
      </c>
      <c r="O76" s="5" t="e">
        <f>'[2]2026年度男装数据汇总分析--俄罗斯'!O76</f>
        <v>#DIV/0!</v>
      </c>
    </row>
    <row r="77" s="34" customFormat="1" spans="1:15">
      <c r="A77" s="24">
        <f>'[2]2026年度男装数据汇总分析--俄罗斯'!A77</f>
        <v>0</v>
      </c>
      <c r="B77" s="1" t="str">
        <f>'[2]2026年度男装数据汇总分析--俄罗斯'!B77</f>
        <v>利润率</v>
      </c>
      <c r="C77" s="5" t="e">
        <f>'[2]2026年度男装数据汇总分析--俄罗斯'!C77</f>
        <v>#DIV/0!</v>
      </c>
      <c r="D77" s="5" t="e">
        <f>'[2]2026年度男装数据汇总分析--俄罗斯'!D77</f>
        <v>#DIV/0!</v>
      </c>
      <c r="E77" s="5" t="e">
        <f>'[2]2026年度男装数据汇总分析--俄罗斯'!E77</f>
        <v>#DIV/0!</v>
      </c>
      <c r="F77" s="5" t="e">
        <f>'[2]2026年度男装数据汇总分析--俄罗斯'!F77</f>
        <v>#DIV/0!</v>
      </c>
      <c r="G77" s="5" t="e">
        <f>'[2]2026年度男装数据汇总分析--俄罗斯'!G77</f>
        <v>#DIV/0!</v>
      </c>
      <c r="H77" s="5" t="e">
        <f>'[2]2026年度男装数据汇总分析--俄罗斯'!H77</f>
        <v>#DIV/0!</v>
      </c>
      <c r="I77" s="5" t="e">
        <f>'[2]2026年度男装数据汇总分析--俄罗斯'!I77</f>
        <v>#DIV/0!</v>
      </c>
      <c r="J77" s="5" t="e">
        <f>'[2]2026年度男装数据汇总分析--俄罗斯'!J77</f>
        <v>#DIV/0!</v>
      </c>
      <c r="K77" s="5" t="e">
        <f>'[2]2026年度男装数据汇总分析--俄罗斯'!K77</f>
        <v>#DIV/0!</v>
      </c>
      <c r="L77" s="5" t="e">
        <f>'[2]2026年度男装数据汇总分析--俄罗斯'!L77</f>
        <v>#DIV/0!</v>
      </c>
      <c r="M77" s="5" t="e">
        <f>'[2]2026年度男装数据汇总分析--俄罗斯'!M77</f>
        <v>#DIV/0!</v>
      </c>
      <c r="N77" s="5" t="e">
        <f>'[2]2026年度男装数据汇总分析--俄罗斯'!N77</f>
        <v>#DIV/0!</v>
      </c>
      <c r="O77" s="5" t="e">
        <f>'[2]2026年度男装数据汇总分析--俄罗斯'!O77</f>
        <v>#DIV/0!</v>
      </c>
    </row>
    <row r="78" s="34" customFormat="1" spans="1:15">
      <c r="A78" s="8" t="str">
        <f>'[2]2026年度男装数据汇总分析--俄罗斯'!A78</f>
        <v>新店3</v>
      </c>
      <c r="B78" s="1" t="str">
        <f>'[2]2026年度男装数据汇总分析--俄罗斯'!B78</f>
        <v>实际利润（人民币）</v>
      </c>
      <c r="C78" s="1">
        <f>'[2]2026年度男装数据汇总分析--俄罗斯'!C78</f>
        <v>0</v>
      </c>
      <c r="D78" s="1">
        <f>'[2]2026年度男装数据汇总分析--俄罗斯'!D78</f>
        <v>0</v>
      </c>
      <c r="E78" s="1">
        <f>'[2]2026年度男装数据汇总分析--俄罗斯'!E78</f>
        <v>0</v>
      </c>
      <c r="F78" s="1">
        <f>'[2]2026年度男装数据汇总分析--俄罗斯'!F78</f>
        <v>0</v>
      </c>
      <c r="G78" s="1">
        <f>'[2]2026年度男装数据汇总分析--俄罗斯'!G78</f>
        <v>0</v>
      </c>
      <c r="H78" s="1">
        <f>'[2]2026年度男装数据汇总分析--俄罗斯'!H78</f>
        <v>0</v>
      </c>
      <c r="I78" s="1">
        <f>'[2]2026年度男装数据汇总分析--俄罗斯'!I78</f>
        <v>0</v>
      </c>
      <c r="J78" s="1">
        <f>'[2]2026年度男装数据汇总分析--俄罗斯'!J78</f>
        <v>0</v>
      </c>
      <c r="K78" s="1">
        <f>'[2]2026年度男装数据汇总分析--俄罗斯'!K78</f>
        <v>0</v>
      </c>
      <c r="L78" s="1">
        <f>'[2]2026年度男装数据汇总分析--俄罗斯'!L78</f>
        <v>0</v>
      </c>
      <c r="M78" s="1">
        <f>'[2]2026年度男装数据汇总分析--俄罗斯'!M78</f>
        <v>0</v>
      </c>
      <c r="N78" s="1">
        <f>'[2]2026年度男装数据汇总分析--俄罗斯'!N78</f>
        <v>0</v>
      </c>
      <c r="O78" s="1">
        <f>'[2]2026年度男装数据汇总分析--俄罗斯'!O78</f>
        <v>0</v>
      </c>
    </row>
    <row r="79" s="34" customFormat="1" spans="1:15">
      <c r="A79" s="11">
        <f>'[2]2026年度男装数据汇总分析--俄罗斯'!A79</f>
        <v>0</v>
      </c>
      <c r="B79" s="1" t="str">
        <f>'[2]2026年度男装数据汇总分析--俄罗斯'!B79</f>
        <v>销量完成</v>
      </c>
      <c r="C79" s="1">
        <f>'[2]2026年度男装数据汇总分析--俄罗斯'!C79</f>
        <v>0</v>
      </c>
      <c r="D79" s="1">
        <f>'[2]2026年度男装数据汇总分析--俄罗斯'!D79</f>
        <v>0</v>
      </c>
      <c r="E79" s="1">
        <f>'[2]2026年度男装数据汇总分析--俄罗斯'!E79</f>
        <v>0</v>
      </c>
      <c r="F79" s="1">
        <f>'[2]2026年度男装数据汇总分析--俄罗斯'!F79</f>
        <v>0</v>
      </c>
      <c r="G79" s="1">
        <f>'[2]2026年度男装数据汇总分析--俄罗斯'!G79</f>
        <v>0</v>
      </c>
      <c r="H79" s="1">
        <f>'[2]2026年度男装数据汇总分析--俄罗斯'!H79</f>
        <v>0</v>
      </c>
      <c r="I79" s="1">
        <f>'[2]2026年度男装数据汇总分析--俄罗斯'!I79</f>
        <v>0</v>
      </c>
      <c r="J79" s="1">
        <f>'[2]2026年度男装数据汇总分析--俄罗斯'!J79</f>
        <v>0</v>
      </c>
      <c r="K79" s="1">
        <f>'[2]2026年度男装数据汇总分析--俄罗斯'!K79</f>
        <v>0</v>
      </c>
      <c r="L79" s="1">
        <f>'[2]2026年度男装数据汇总分析--俄罗斯'!L79</f>
        <v>0</v>
      </c>
      <c r="M79" s="1">
        <f>'[2]2026年度男装数据汇总分析--俄罗斯'!M79</f>
        <v>0</v>
      </c>
      <c r="N79" s="1">
        <f>'[2]2026年度男装数据汇总分析--俄罗斯'!N79</f>
        <v>0</v>
      </c>
      <c r="O79" s="1">
        <f>'[2]2026年度男装数据汇总分析--俄罗斯'!O79</f>
        <v>0</v>
      </c>
    </row>
    <row r="80" s="34" customFormat="1" spans="1:15">
      <c r="A80" s="11">
        <f>'[2]2026年度男装数据汇总分析--俄罗斯'!A80</f>
        <v>0</v>
      </c>
      <c r="B80" s="1" t="str">
        <f>'[2]2026年度男装数据汇总分析--俄罗斯'!B80</f>
        <v>实销完成</v>
      </c>
      <c r="C80" s="1">
        <f>'[2]2026年度男装数据汇总分析--俄罗斯'!C80</f>
        <v>0</v>
      </c>
      <c r="D80" s="1">
        <f>'[2]2026年度男装数据汇总分析--俄罗斯'!D80</f>
        <v>0</v>
      </c>
      <c r="E80" s="1">
        <f>'[2]2026年度男装数据汇总分析--俄罗斯'!E80</f>
        <v>0</v>
      </c>
      <c r="F80" s="1">
        <f>'[2]2026年度男装数据汇总分析--俄罗斯'!F80</f>
        <v>0</v>
      </c>
      <c r="G80" s="1">
        <f>'[2]2026年度男装数据汇总分析--俄罗斯'!G80</f>
        <v>0</v>
      </c>
      <c r="H80" s="1">
        <f>'[2]2026年度男装数据汇总分析--俄罗斯'!H80</f>
        <v>0</v>
      </c>
      <c r="I80" s="1">
        <f>'[2]2026年度男装数据汇总分析--俄罗斯'!I80</f>
        <v>0</v>
      </c>
      <c r="J80" s="1">
        <f>'[2]2026年度男装数据汇总分析--俄罗斯'!J80</f>
        <v>0</v>
      </c>
      <c r="K80" s="1">
        <f>'[2]2026年度男装数据汇总分析--俄罗斯'!K80</f>
        <v>0</v>
      </c>
      <c r="L80" s="1">
        <f>'[2]2026年度男装数据汇总分析--俄罗斯'!L80</f>
        <v>0</v>
      </c>
      <c r="M80" s="1">
        <f>'[2]2026年度男装数据汇总分析--俄罗斯'!M80</f>
        <v>0</v>
      </c>
      <c r="N80" s="1">
        <f>'[2]2026年度男装数据汇总分析--俄罗斯'!N80</f>
        <v>0</v>
      </c>
      <c r="O80" s="1">
        <f>'[2]2026年度男装数据汇总分析--俄罗斯'!O80</f>
        <v>0</v>
      </c>
    </row>
    <row r="81" s="34" customFormat="1" spans="1:15">
      <c r="A81" s="11">
        <f>'[2]2026年度男装数据汇总分析--俄罗斯'!A81</f>
        <v>0</v>
      </c>
      <c r="B81" s="1" t="str">
        <f>'[2]2026年度男装数据汇总分析--俄罗斯'!B81</f>
        <v>GMV完成</v>
      </c>
      <c r="C81" s="1">
        <f>'[2]2026年度男装数据汇总分析--俄罗斯'!C81</f>
        <v>0</v>
      </c>
      <c r="D81" s="1">
        <f>'[2]2026年度男装数据汇总分析--俄罗斯'!D81</f>
        <v>0</v>
      </c>
      <c r="E81" s="1">
        <f>'[2]2026年度男装数据汇总分析--俄罗斯'!E81</f>
        <v>0</v>
      </c>
      <c r="F81" s="1">
        <f>'[2]2026年度男装数据汇总分析--俄罗斯'!F81</f>
        <v>0</v>
      </c>
      <c r="G81" s="1">
        <f>'[2]2026年度男装数据汇总分析--俄罗斯'!G81</f>
        <v>0</v>
      </c>
      <c r="H81" s="1">
        <f>'[2]2026年度男装数据汇总分析--俄罗斯'!H81</f>
        <v>0</v>
      </c>
      <c r="I81" s="1">
        <f>'[2]2026年度男装数据汇总分析--俄罗斯'!I81</f>
        <v>0</v>
      </c>
      <c r="J81" s="1">
        <f>'[2]2026年度男装数据汇总分析--俄罗斯'!J81</f>
        <v>0</v>
      </c>
      <c r="K81" s="1">
        <f>'[2]2026年度男装数据汇总分析--俄罗斯'!K81</f>
        <v>0</v>
      </c>
      <c r="L81" s="1">
        <f>'[2]2026年度男装数据汇总分析--俄罗斯'!L81</f>
        <v>0</v>
      </c>
      <c r="M81" s="1">
        <f>'[2]2026年度男装数据汇总分析--俄罗斯'!M81</f>
        <v>0</v>
      </c>
      <c r="N81" s="1">
        <f>'[2]2026年度男装数据汇总分析--俄罗斯'!N81</f>
        <v>0</v>
      </c>
      <c r="O81" s="1">
        <f>'[2]2026年度男装数据汇总分析--俄罗斯'!O81</f>
        <v>0</v>
      </c>
    </row>
    <row r="82" s="34" customFormat="1" spans="1:15">
      <c r="A82" s="11">
        <f>'[2]2026年度男装数据汇总分析--俄罗斯'!A82</f>
        <v>0</v>
      </c>
      <c r="B82" s="1" t="str">
        <f>'[2]2026年度男装数据汇总分析--俄罗斯'!B82</f>
        <v>GSV完成</v>
      </c>
      <c r="C82" s="1">
        <f>'[2]2026年度男装数据汇总分析--俄罗斯'!C82</f>
        <v>0</v>
      </c>
      <c r="D82" s="1">
        <f>'[2]2026年度男装数据汇总分析--俄罗斯'!D82</f>
        <v>0</v>
      </c>
      <c r="E82" s="1">
        <f>'[2]2026年度男装数据汇总分析--俄罗斯'!E82</f>
        <v>0</v>
      </c>
      <c r="F82" s="1">
        <f>'[2]2026年度男装数据汇总分析--俄罗斯'!F82</f>
        <v>0</v>
      </c>
      <c r="G82" s="1">
        <f>'[2]2026年度男装数据汇总分析--俄罗斯'!G82</f>
        <v>0</v>
      </c>
      <c r="H82" s="1">
        <f>'[2]2026年度男装数据汇总分析--俄罗斯'!H82</f>
        <v>0</v>
      </c>
      <c r="I82" s="1">
        <f>'[2]2026年度男装数据汇总分析--俄罗斯'!I82</f>
        <v>0</v>
      </c>
      <c r="J82" s="1">
        <f>'[2]2026年度男装数据汇总分析--俄罗斯'!J82</f>
        <v>0</v>
      </c>
      <c r="K82" s="1">
        <f>'[2]2026年度男装数据汇总分析--俄罗斯'!K82</f>
        <v>0</v>
      </c>
      <c r="L82" s="1">
        <f>'[2]2026年度男装数据汇总分析--俄罗斯'!L82</f>
        <v>0</v>
      </c>
      <c r="M82" s="1">
        <f>'[2]2026年度男装数据汇总分析--俄罗斯'!M82</f>
        <v>0</v>
      </c>
      <c r="N82" s="1">
        <f>'[2]2026年度男装数据汇总分析--俄罗斯'!N82</f>
        <v>0</v>
      </c>
      <c r="O82" s="1">
        <f>'[2]2026年度男装数据汇总分析--俄罗斯'!O82</f>
        <v>0</v>
      </c>
    </row>
    <row r="83" s="34" customFormat="1" spans="1:15">
      <c r="A83" s="11">
        <f>'[2]2026年度男装数据汇总分析--俄罗斯'!A83</f>
        <v>0</v>
      </c>
      <c r="B83" s="1" t="str">
        <f>'[2]2026年度男装数据汇总分析--俄罗斯'!B83</f>
        <v>退款率</v>
      </c>
      <c r="C83" s="5" t="e">
        <f>'[2]2026年度男装数据汇总分析--俄罗斯'!C83</f>
        <v>#DIV/0!</v>
      </c>
      <c r="D83" s="5" t="e">
        <f>'[2]2026年度男装数据汇总分析--俄罗斯'!D83</f>
        <v>#DIV/0!</v>
      </c>
      <c r="E83" s="5" t="e">
        <f>'[2]2026年度男装数据汇总分析--俄罗斯'!E83</f>
        <v>#DIV/0!</v>
      </c>
      <c r="F83" s="5" t="e">
        <f>'[2]2026年度男装数据汇总分析--俄罗斯'!F83</f>
        <v>#DIV/0!</v>
      </c>
      <c r="G83" s="5" t="e">
        <f>'[2]2026年度男装数据汇总分析--俄罗斯'!G83</f>
        <v>#DIV/0!</v>
      </c>
      <c r="H83" s="5" t="e">
        <f>'[2]2026年度男装数据汇总分析--俄罗斯'!H83</f>
        <v>#DIV/0!</v>
      </c>
      <c r="I83" s="5" t="e">
        <f>'[2]2026年度男装数据汇总分析--俄罗斯'!I83</f>
        <v>#DIV/0!</v>
      </c>
      <c r="J83" s="5" t="e">
        <f>'[2]2026年度男装数据汇总分析--俄罗斯'!J83</f>
        <v>#DIV/0!</v>
      </c>
      <c r="K83" s="5" t="e">
        <f>'[2]2026年度男装数据汇总分析--俄罗斯'!K83</f>
        <v>#DIV/0!</v>
      </c>
      <c r="L83" s="5" t="e">
        <f>'[2]2026年度男装数据汇总分析--俄罗斯'!L83</f>
        <v>#DIV/0!</v>
      </c>
      <c r="M83" s="5" t="e">
        <f>'[2]2026年度男装数据汇总分析--俄罗斯'!M83</f>
        <v>#DIV/0!</v>
      </c>
      <c r="N83" s="5" t="e">
        <f>'[2]2026年度男装数据汇总分析--俄罗斯'!N83</f>
        <v>#DIV/0!</v>
      </c>
      <c r="O83" s="5" t="e">
        <f>'[2]2026年度男装数据汇总分析--俄罗斯'!O83</f>
        <v>#DIV/0!</v>
      </c>
    </row>
    <row r="84" s="34" customFormat="1" spans="1:15">
      <c r="A84" s="11">
        <f>'[2]2026年度男装数据汇总分析--俄罗斯'!A84</f>
        <v>0</v>
      </c>
      <c r="B84" s="1" t="str">
        <f>'[2]2026年度男装数据汇总分析--俄罗斯'!B84</f>
        <v>退货率</v>
      </c>
      <c r="C84" s="5" t="e">
        <f>'[2]2026年度男装数据汇总分析--俄罗斯'!C84</f>
        <v>#DIV/0!</v>
      </c>
      <c r="D84" s="5" t="e">
        <f>'[2]2026年度男装数据汇总分析--俄罗斯'!D84</f>
        <v>#DIV/0!</v>
      </c>
      <c r="E84" s="5" t="e">
        <f>'[2]2026年度男装数据汇总分析--俄罗斯'!E84</f>
        <v>#DIV/0!</v>
      </c>
      <c r="F84" s="5" t="e">
        <f>'[2]2026年度男装数据汇总分析--俄罗斯'!F84</f>
        <v>#DIV/0!</v>
      </c>
      <c r="G84" s="5" t="e">
        <f>'[2]2026年度男装数据汇总分析--俄罗斯'!G84</f>
        <v>#DIV/0!</v>
      </c>
      <c r="H84" s="5" t="e">
        <f>'[2]2026年度男装数据汇总分析--俄罗斯'!H84</f>
        <v>#DIV/0!</v>
      </c>
      <c r="I84" s="5" t="e">
        <f>'[2]2026年度男装数据汇总分析--俄罗斯'!I84</f>
        <v>#DIV/0!</v>
      </c>
      <c r="J84" s="5" t="e">
        <f>'[2]2026年度男装数据汇总分析--俄罗斯'!J84</f>
        <v>#DIV/0!</v>
      </c>
      <c r="K84" s="5" t="e">
        <f>'[2]2026年度男装数据汇总分析--俄罗斯'!K84</f>
        <v>#DIV/0!</v>
      </c>
      <c r="L84" s="5" t="e">
        <f>'[2]2026年度男装数据汇总分析--俄罗斯'!L84</f>
        <v>#DIV/0!</v>
      </c>
      <c r="M84" s="5" t="e">
        <f>'[2]2026年度男装数据汇总分析--俄罗斯'!M84</f>
        <v>#DIV/0!</v>
      </c>
      <c r="N84" s="5" t="e">
        <f>'[2]2026年度男装数据汇总分析--俄罗斯'!N84</f>
        <v>#DIV/0!</v>
      </c>
      <c r="O84" s="5" t="e">
        <f>'[2]2026年度男装数据汇总分析--俄罗斯'!O84</f>
        <v>#DIV/0!</v>
      </c>
    </row>
    <row r="85" s="34" customFormat="1" spans="1:15">
      <c r="A85" s="24">
        <f>'[2]2026年度男装数据汇总分析--俄罗斯'!A85</f>
        <v>0</v>
      </c>
      <c r="B85" s="1" t="str">
        <f>'[2]2026年度男装数据汇总分析--俄罗斯'!B85</f>
        <v>利润率</v>
      </c>
      <c r="C85" s="5" t="e">
        <f>'[2]2026年度男装数据汇总分析--俄罗斯'!C85</f>
        <v>#DIV/0!</v>
      </c>
      <c r="D85" s="5" t="e">
        <f>'[2]2026年度男装数据汇总分析--俄罗斯'!D85</f>
        <v>#DIV/0!</v>
      </c>
      <c r="E85" s="5" t="e">
        <f>'[2]2026年度男装数据汇总分析--俄罗斯'!E85</f>
        <v>#DIV/0!</v>
      </c>
      <c r="F85" s="5" t="e">
        <f>'[2]2026年度男装数据汇总分析--俄罗斯'!F85</f>
        <v>#DIV/0!</v>
      </c>
      <c r="G85" s="5" t="e">
        <f>'[2]2026年度男装数据汇总分析--俄罗斯'!G85</f>
        <v>#DIV/0!</v>
      </c>
      <c r="H85" s="5" t="e">
        <f>'[2]2026年度男装数据汇总分析--俄罗斯'!H85</f>
        <v>#DIV/0!</v>
      </c>
      <c r="I85" s="5" t="e">
        <f>'[2]2026年度男装数据汇总分析--俄罗斯'!I85</f>
        <v>#DIV/0!</v>
      </c>
      <c r="J85" s="5" t="e">
        <f>'[2]2026年度男装数据汇总分析--俄罗斯'!J85</f>
        <v>#DIV/0!</v>
      </c>
      <c r="K85" s="5" t="e">
        <f>'[2]2026年度男装数据汇总分析--俄罗斯'!K85</f>
        <v>#DIV/0!</v>
      </c>
      <c r="L85" s="5" t="e">
        <f>'[2]2026年度男装数据汇总分析--俄罗斯'!L85</f>
        <v>#DIV/0!</v>
      </c>
      <c r="M85" s="5" t="e">
        <f>'[2]2026年度男装数据汇总分析--俄罗斯'!M85</f>
        <v>#DIV/0!</v>
      </c>
      <c r="N85" s="5" t="e">
        <f>'[2]2026年度男装数据汇总分析--俄罗斯'!N85</f>
        <v>#DIV/0!</v>
      </c>
      <c r="O85" s="5" t="e">
        <f>'[2]2026年度男装数据汇总分析--俄罗斯'!O85</f>
        <v>#DIV/0!</v>
      </c>
    </row>
    <row r="86" s="34" customFormat="1" spans="1:15">
      <c r="A86" s="8" t="str">
        <f>'[2]2026年度男装数据汇总分析--俄罗斯'!A86</f>
        <v>新店4</v>
      </c>
      <c r="B86" s="1" t="str">
        <f>'[2]2026年度男装数据汇总分析--俄罗斯'!B86</f>
        <v>实际利润（人民币）</v>
      </c>
      <c r="C86" s="1">
        <f>'[2]2026年度男装数据汇总分析--俄罗斯'!C86</f>
        <v>0</v>
      </c>
      <c r="D86" s="1">
        <f>'[2]2026年度男装数据汇总分析--俄罗斯'!D86</f>
        <v>0</v>
      </c>
      <c r="E86" s="1">
        <f>'[2]2026年度男装数据汇总分析--俄罗斯'!E86</f>
        <v>0</v>
      </c>
      <c r="F86" s="1">
        <f>'[2]2026年度男装数据汇总分析--俄罗斯'!F86</f>
        <v>0</v>
      </c>
      <c r="G86" s="1">
        <f>'[2]2026年度男装数据汇总分析--俄罗斯'!G86</f>
        <v>0</v>
      </c>
      <c r="H86" s="1">
        <f>'[2]2026年度男装数据汇总分析--俄罗斯'!H86</f>
        <v>0</v>
      </c>
      <c r="I86" s="1">
        <f>'[2]2026年度男装数据汇总分析--俄罗斯'!I86</f>
        <v>0</v>
      </c>
      <c r="J86" s="1">
        <f>'[2]2026年度男装数据汇总分析--俄罗斯'!J86</f>
        <v>0</v>
      </c>
      <c r="K86" s="1">
        <f>'[2]2026年度男装数据汇总分析--俄罗斯'!K86</f>
        <v>0</v>
      </c>
      <c r="L86" s="1">
        <f>'[2]2026年度男装数据汇总分析--俄罗斯'!L86</f>
        <v>0</v>
      </c>
      <c r="M86" s="1">
        <f>'[2]2026年度男装数据汇总分析--俄罗斯'!M86</f>
        <v>0</v>
      </c>
      <c r="N86" s="1">
        <f>'[2]2026年度男装数据汇总分析--俄罗斯'!N86</f>
        <v>0</v>
      </c>
      <c r="O86" s="1">
        <f>'[2]2026年度男装数据汇总分析--俄罗斯'!O86</f>
        <v>0</v>
      </c>
    </row>
    <row r="87" s="34" customFormat="1" spans="1:15">
      <c r="A87" s="11">
        <f>'[2]2026年度男装数据汇总分析--俄罗斯'!A87</f>
        <v>0</v>
      </c>
      <c r="B87" s="1" t="str">
        <f>'[2]2026年度男装数据汇总分析--俄罗斯'!B87</f>
        <v>销量完成</v>
      </c>
      <c r="C87" s="1">
        <f>'[2]2026年度男装数据汇总分析--俄罗斯'!C87</f>
        <v>0</v>
      </c>
      <c r="D87" s="1">
        <f>'[2]2026年度男装数据汇总分析--俄罗斯'!D87</f>
        <v>0</v>
      </c>
      <c r="E87" s="1">
        <f>'[2]2026年度男装数据汇总分析--俄罗斯'!E87</f>
        <v>0</v>
      </c>
      <c r="F87" s="1">
        <f>'[2]2026年度男装数据汇总分析--俄罗斯'!F87</f>
        <v>0</v>
      </c>
      <c r="G87" s="1">
        <f>'[2]2026年度男装数据汇总分析--俄罗斯'!G87</f>
        <v>0</v>
      </c>
      <c r="H87" s="1">
        <f>'[2]2026年度男装数据汇总分析--俄罗斯'!H87</f>
        <v>0</v>
      </c>
      <c r="I87" s="1">
        <f>'[2]2026年度男装数据汇总分析--俄罗斯'!I87</f>
        <v>0</v>
      </c>
      <c r="J87" s="1">
        <f>'[2]2026年度男装数据汇总分析--俄罗斯'!J87</f>
        <v>0</v>
      </c>
      <c r="K87" s="1">
        <f>'[2]2026年度男装数据汇总分析--俄罗斯'!K87</f>
        <v>0</v>
      </c>
      <c r="L87" s="1">
        <f>'[2]2026年度男装数据汇总分析--俄罗斯'!L87</f>
        <v>0</v>
      </c>
      <c r="M87" s="1">
        <f>'[2]2026年度男装数据汇总分析--俄罗斯'!M87</f>
        <v>0</v>
      </c>
      <c r="N87" s="1">
        <f>'[2]2026年度男装数据汇总分析--俄罗斯'!N87</f>
        <v>0</v>
      </c>
      <c r="O87" s="1">
        <f>'[2]2026年度男装数据汇总分析--俄罗斯'!O87</f>
        <v>0</v>
      </c>
    </row>
    <row r="88" s="34" customFormat="1" spans="1:15">
      <c r="A88" s="11">
        <f>'[2]2026年度男装数据汇总分析--俄罗斯'!A88</f>
        <v>0</v>
      </c>
      <c r="B88" s="1" t="str">
        <f>'[2]2026年度男装数据汇总分析--俄罗斯'!B88</f>
        <v>实销完成</v>
      </c>
      <c r="C88" s="1">
        <f>'[2]2026年度男装数据汇总分析--俄罗斯'!C88</f>
        <v>0</v>
      </c>
      <c r="D88" s="1">
        <f>'[2]2026年度男装数据汇总分析--俄罗斯'!D88</f>
        <v>0</v>
      </c>
      <c r="E88" s="1">
        <f>'[2]2026年度男装数据汇总分析--俄罗斯'!E88</f>
        <v>0</v>
      </c>
      <c r="F88" s="1">
        <f>'[2]2026年度男装数据汇总分析--俄罗斯'!F88</f>
        <v>0</v>
      </c>
      <c r="G88" s="1">
        <f>'[2]2026年度男装数据汇总分析--俄罗斯'!G88</f>
        <v>0</v>
      </c>
      <c r="H88" s="1">
        <f>'[2]2026年度男装数据汇总分析--俄罗斯'!H88</f>
        <v>0</v>
      </c>
      <c r="I88" s="1">
        <f>'[2]2026年度男装数据汇总分析--俄罗斯'!I88</f>
        <v>0</v>
      </c>
      <c r="J88" s="1">
        <f>'[2]2026年度男装数据汇总分析--俄罗斯'!J88</f>
        <v>0</v>
      </c>
      <c r="K88" s="1">
        <f>'[2]2026年度男装数据汇总分析--俄罗斯'!K88</f>
        <v>0</v>
      </c>
      <c r="L88" s="1">
        <f>'[2]2026年度男装数据汇总分析--俄罗斯'!L88</f>
        <v>0</v>
      </c>
      <c r="M88" s="1">
        <f>'[2]2026年度男装数据汇总分析--俄罗斯'!M88</f>
        <v>0</v>
      </c>
      <c r="N88" s="1">
        <f>'[2]2026年度男装数据汇总分析--俄罗斯'!N88</f>
        <v>0</v>
      </c>
      <c r="O88" s="1">
        <f>'[2]2026年度男装数据汇总分析--俄罗斯'!O88</f>
        <v>0</v>
      </c>
    </row>
    <row r="89" s="34" customFormat="1" spans="1:15">
      <c r="A89" s="11">
        <f>'[2]2026年度男装数据汇总分析--俄罗斯'!A89</f>
        <v>0</v>
      </c>
      <c r="B89" s="1" t="str">
        <f>'[2]2026年度男装数据汇总分析--俄罗斯'!B89</f>
        <v>GMV完成</v>
      </c>
      <c r="C89" s="1">
        <f>'[2]2026年度男装数据汇总分析--俄罗斯'!C89</f>
        <v>0</v>
      </c>
      <c r="D89" s="1">
        <f>'[2]2026年度男装数据汇总分析--俄罗斯'!D89</f>
        <v>0</v>
      </c>
      <c r="E89" s="1">
        <f>'[2]2026年度男装数据汇总分析--俄罗斯'!E89</f>
        <v>0</v>
      </c>
      <c r="F89" s="1">
        <f>'[2]2026年度男装数据汇总分析--俄罗斯'!F89</f>
        <v>0</v>
      </c>
      <c r="G89" s="1">
        <f>'[2]2026年度男装数据汇总分析--俄罗斯'!G89</f>
        <v>0</v>
      </c>
      <c r="H89" s="1">
        <f>'[2]2026年度男装数据汇总分析--俄罗斯'!H89</f>
        <v>0</v>
      </c>
      <c r="I89" s="1">
        <f>'[2]2026年度男装数据汇总分析--俄罗斯'!I89</f>
        <v>0</v>
      </c>
      <c r="J89" s="1">
        <f>'[2]2026年度男装数据汇总分析--俄罗斯'!J89</f>
        <v>0</v>
      </c>
      <c r="K89" s="1">
        <f>'[2]2026年度男装数据汇总分析--俄罗斯'!K89</f>
        <v>0</v>
      </c>
      <c r="L89" s="1">
        <f>'[2]2026年度男装数据汇总分析--俄罗斯'!L89</f>
        <v>0</v>
      </c>
      <c r="M89" s="1">
        <f>'[2]2026年度男装数据汇总分析--俄罗斯'!M89</f>
        <v>0</v>
      </c>
      <c r="N89" s="1">
        <f>'[2]2026年度男装数据汇总分析--俄罗斯'!N89</f>
        <v>0</v>
      </c>
      <c r="O89" s="1">
        <f>'[2]2026年度男装数据汇总分析--俄罗斯'!O89</f>
        <v>0</v>
      </c>
    </row>
    <row r="90" s="34" customFormat="1" spans="1:15">
      <c r="A90" s="11">
        <f>'[2]2026年度男装数据汇总分析--俄罗斯'!A90</f>
        <v>0</v>
      </c>
      <c r="B90" s="1" t="str">
        <f>'[2]2026年度男装数据汇总分析--俄罗斯'!B90</f>
        <v>GSV完成</v>
      </c>
      <c r="C90" s="1">
        <f>'[2]2026年度男装数据汇总分析--俄罗斯'!C90</f>
        <v>0</v>
      </c>
      <c r="D90" s="1">
        <f>'[2]2026年度男装数据汇总分析--俄罗斯'!D90</f>
        <v>0</v>
      </c>
      <c r="E90" s="1">
        <f>'[2]2026年度男装数据汇总分析--俄罗斯'!E90</f>
        <v>0</v>
      </c>
      <c r="F90" s="1">
        <f>'[2]2026年度男装数据汇总分析--俄罗斯'!F90</f>
        <v>0</v>
      </c>
      <c r="G90" s="1">
        <f>'[2]2026年度男装数据汇总分析--俄罗斯'!G90</f>
        <v>0</v>
      </c>
      <c r="H90" s="1">
        <f>'[2]2026年度男装数据汇总分析--俄罗斯'!H90</f>
        <v>0</v>
      </c>
      <c r="I90" s="1">
        <f>'[2]2026年度男装数据汇总分析--俄罗斯'!I90</f>
        <v>0</v>
      </c>
      <c r="J90" s="1">
        <f>'[2]2026年度男装数据汇总分析--俄罗斯'!J90</f>
        <v>0</v>
      </c>
      <c r="K90" s="1">
        <f>'[2]2026年度男装数据汇总分析--俄罗斯'!K90</f>
        <v>0</v>
      </c>
      <c r="L90" s="1">
        <f>'[2]2026年度男装数据汇总分析--俄罗斯'!L90</f>
        <v>0</v>
      </c>
      <c r="M90" s="1">
        <f>'[2]2026年度男装数据汇总分析--俄罗斯'!M90</f>
        <v>0</v>
      </c>
      <c r="N90" s="1">
        <f>'[2]2026年度男装数据汇总分析--俄罗斯'!N90</f>
        <v>0</v>
      </c>
      <c r="O90" s="1">
        <f>'[2]2026年度男装数据汇总分析--俄罗斯'!O90</f>
        <v>0</v>
      </c>
    </row>
    <row r="91" s="34" customFormat="1" spans="1:15">
      <c r="A91" s="11">
        <f>'[2]2026年度男装数据汇总分析--俄罗斯'!A91</f>
        <v>0</v>
      </c>
      <c r="B91" s="1" t="str">
        <f>'[2]2026年度男装数据汇总分析--俄罗斯'!B91</f>
        <v>退款率</v>
      </c>
      <c r="C91" s="5" t="e">
        <f>'[2]2026年度男装数据汇总分析--俄罗斯'!C91</f>
        <v>#DIV/0!</v>
      </c>
      <c r="D91" s="5" t="e">
        <f>'[2]2026年度男装数据汇总分析--俄罗斯'!D91</f>
        <v>#DIV/0!</v>
      </c>
      <c r="E91" s="5" t="e">
        <f>'[2]2026年度男装数据汇总分析--俄罗斯'!E91</f>
        <v>#DIV/0!</v>
      </c>
      <c r="F91" s="5" t="e">
        <f>'[2]2026年度男装数据汇总分析--俄罗斯'!F91</f>
        <v>#DIV/0!</v>
      </c>
      <c r="G91" s="5" t="e">
        <f>'[2]2026年度男装数据汇总分析--俄罗斯'!G91</f>
        <v>#DIV/0!</v>
      </c>
      <c r="H91" s="5" t="e">
        <f>'[2]2026年度男装数据汇总分析--俄罗斯'!H91</f>
        <v>#DIV/0!</v>
      </c>
      <c r="I91" s="5" t="e">
        <f>'[2]2026年度男装数据汇总分析--俄罗斯'!I91</f>
        <v>#DIV/0!</v>
      </c>
      <c r="J91" s="5" t="e">
        <f>'[2]2026年度男装数据汇总分析--俄罗斯'!J91</f>
        <v>#DIV/0!</v>
      </c>
      <c r="K91" s="5" t="e">
        <f>'[2]2026年度男装数据汇总分析--俄罗斯'!K91</f>
        <v>#DIV/0!</v>
      </c>
      <c r="L91" s="5" t="e">
        <f>'[2]2026年度男装数据汇总分析--俄罗斯'!L91</f>
        <v>#DIV/0!</v>
      </c>
      <c r="M91" s="5" t="e">
        <f>'[2]2026年度男装数据汇总分析--俄罗斯'!M91</f>
        <v>#DIV/0!</v>
      </c>
      <c r="N91" s="5" t="e">
        <f>'[2]2026年度男装数据汇总分析--俄罗斯'!N91</f>
        <v>#DIV/0!</v>
      </c>
      <c r="O91" s="5" t="e">
        <f>'[2]2026年度男装数据汇总分析--俄罗斯'!O91</f>
        <v>#DIV/0!</v>
      </c>
    </row>
    <row r="92" s="34" customFormat="1" spans="1:15">
      <c r="A92" s="11">
        <f>'[2]2026年度男装数据汇总分析--俄罗斯'!A92</f>
        <v>0</v>
      </c>
      <c r="B92" s="1" t="str">
        <f>'[2]2026年度男装数据汇总分析--俄罗斯'!B92</f>
        <v>退货率</v>
      </c>
      <c r="C92" s="5" t="e">
        <f>'[2]2026年度男装数据汇总分析--俄罗斯'!C92</f>
        <v>#DIV/0!</v>
      </c>
      <c r="D92" s="5" t="e">
        <f>'[2]2026年度男装数据汇总分析--俄罗斯'!D92</f>
        <v>#DIV/0!</v>
      </c>
      <c r="E92" s="5" t="e">
        <f>'[2]2026年度男装数据汇总分析--俄罗斯'!E92</f>
        <v>#DIV/0!</v>
      </c>
      <c r="F92" s="5" t="e">
        <f>'[2]2026年度男装数据汇总分析--俄罗斯'!F92</f>
        <v>#DIV/0!</v>
      </c>
      <c r="G92" s="5" t="e">
        <f>'[2]2026年度男装数据汇总分析--俄罗斯'!G92</f>
        <v>#DIV/0!</v>
      </c>
      <c r="H92" s="5" t="e">
        <f>'[2]2026年度男装数据汇总分析--俄罗斯'!H92</f>
        <v>#DIV/0!</v>
      </c>
      <c r="I92" s="5" t="e">
        <f>'[2]2026年度男装数据汇总分析--俄罗斯'!I92</f>
        <v>#DIV/0!</v>
      </c>
      <c r="J92" s="5" t="e">
        <f>'[2]2026年度男装数据汇总分析--俄罗斯'!J92</f>
        <v>#DIV/0!</v>
      </c>
      <c r="K92" s="5" t="e">
        <f>'[2]2026年度男装数据汇总分析--俄罗斯'!K92</f>
        <v>#DIV/0!</v>
      </c>
      <c r="L92" s="5" t="e">
        <f>'[2]2026年度男装数据汇总分析--俄罗斯'!L92</f>
        <v>#DIV/0!</v>
      </c>
      <c r="M92" s="5" t="e">
        <f>'[2]2026年度男装数据汇总分析--俄罗斯'!M92</f>
        <v>#DIV/0!</v>
      </c>
      <c r="N92" s="5" t="e">
        <f>'[2]2026年度男装数据汇总分析--俄罗斯'!N92</f>
        <v>#DIV/0!</v>
      </c>
      <c r="O92" s="5" t="e">
        <f>'[2]2026年度男装数据汇总分析--俄罗斯'!O92</f>
        <v>#DIV/0!</v>
      </c>
    </row>
    <row r="93" s="34" customFormat="1" spans="1:15">
      <c r="A93" s="24">
        <f>'[2]2026年度男装数据汇总分析--俄罗斯'!A93</f>
        <v>0</v>
      </c>
      <c r="B93" s="1" t="str">
        <f>'[2]2026年度男装数据汇总分析--俄罗斯'!B93</f>
        <v>利润率</v>
      </c>
      <c r="C93" s="5" t="e">
        <f>'[2]2026年度男装数据汇总分析--俄罗斯'!C93</f>
        <v>#DIV/0!</v>
      </c>
      <c r="D93" s="5" t="e">
        <f>'[2]2026年度男装数据汇总分析--俄罗斯'!D93</f>
        <v>#DIV/0!</v>
      </c>
      <c r="E93" s="5" t="e">
        <f>'[2]2026年度男装数据汇总分析--俄罗斯'!E93</f>
        <v>#DIV/0!</v>
      </c>
      <c r="F93" s="5" t="e">
        <f>'[2]2026年度男装数据汇总分析--俄罗斯'!F93</f>
        <v>#DIV/0!</v>
      </c>
      <c r="G93" s="5" t="e">
        <f>'[2]2026年度男装数据汇总分析--俄罗斯'!G93</f>
        <v>#DIV/0!</v>
      </c>
      <c r="H93" s="5" t="e">
        <f>'[2]2026年度男装数据汇总分析--俄罗斯'!H93</f>
        <v>#DIV/0!</v>
      </c>
      <c r="I93" s="5" t="e">
        <f>'[2]2026年度男装数据汇总分析--俄罗斯'!I93</f>
        <v>#DIV/0!</v>
      </c>
      <c r="J93" s="5" t="e">
        <f>'[2]2026年度男装数据汇总分析--俄罗斯'!J93</f>
        <v>#DIV/0!</v>
      </c>
      <c r="K93" s="5" t="e">
        <f>'[2]2026年度男装数据汇总分析--俄罗斯'!K93</f>
        <v>#DIV/0!</v>
      </c>
      <c r="L93" s="5" t="e">
        <f>'[2]2026年度男装数据汇总分析--俄罗斯'!L93</f>
        <v>#DIV/0!</v>
      </c>
      <c r="M93" s="5" t="e">
        <f>'[2]2026年度男装数据汇总分析--俄罗斯'!M93</f>
        <v>#DIV/0!</v>
      </c>
      <c r="N93" s="5" t="e">
        <f>'[2]2026年度男装数据汇总分析--俄罗斯'!N93</f>
        <v>#DIV/0!</v>
      </c>
      <c r="O93" s="5" t="e">
        <f>'[2]2026年度男装数据汇总分析--俄罗斯'!O93</f>
        <v>#DIV/0!</v>
      </c>
    </row>
    <row r="94" s="34" customFormat="1" spans="1:15">
      <c r="A94" s="8" t="str">
        <f>'[2]2026年度男装数据汇总分析--俄罗斯'!A94</f>
        <v>新店5</v>
      </c>
      <c r="B94" s="1" t="str">
        <f>'[2]2026年度男装数据汇总分析--俄罗斯'!B94</f>
        <v>实际利润（人民币）</v>
      </c>
      <c r="C94" s="1">
        <f>'[2]2026年度男装数据汇总分析--俄罗斯'!C94</f>
        <v>0</v>
      </c>
      <c r="D94" s="1">
        <f>'[2]2026年度男装数据汇总分析--俄罗斯'!D94</f>
        <v>0</v>
      </c>
      <c r="E94" s="1">
        <f>'[2]2026年度男装数据汇总分析--俄罗斯'!E94</f>
        <v>0</v>
      </c>
      <c r="F94" s="1">
        <f>'[2]2026年度男装数据汇总分析--俄罗斯'!F94</f>
        <v>0</v>
      </c>
      <c r="G94" s="1">
        <f>'[2]2026年度男装数据汇总分析--俄罗斯'!G94</f>
        <v>0</v>
      </c>
      <c r="H94" s="1">
        <f>'[2]2026年度男装数据汇总分析--俄罗斯'!H94</f>
        <v>0</v>
      </c>
      <c r="I94" s="1">
        <f>'[2]2026年度男装数据汇总分析--俄罗斯'!I94</f>
        <v>0</v>
      </c>
      <c r="J94" s="1">
        <f>'[2]2026年度男装数据汇总分析--俄罗斯'!J94</f>
        <v>0</v>
      </c>
      <c r="K94" s="1">
        <f>'[2]2026年度男装数据汇总分析--俄罗斯'!K94</f>
        <v>0</v>
      </c>
      <c r="L94" s="1">
        <f>'[2]2026年度男装数据汇总分析--俄罗斯'!L94</f>
        <v>0</v>
      </c>
      <c r="M94" s="1">
        <f>'[2]2026年度男装数据汇总分析--俄罗斯'!M94</f>
        <v>0</v>
      </c>
      <c r="N94" s="1">
        <f>'[2]2026年度男装数据汇总分析--俄罗斯'!N94</f>
        <v>0</v>
      </c>
      <c r="O94" s="1">
        <f>'[2]2026年度男装数据汇总分析--俄罗斯'!O94</f>
        <v>0</v>
      </c>
    </row>
    <row r="95" s="34" customFormat="1" spans="1:15">
      <c r="A95" s="11">
        <f>'[2]2026年度男装数据汇总分析--俄罗斯'!A95</f>
        <v>0</v>
      </c>
      <c r="B95" s="1" t="str">
        <f>'[2]2026年度男装数据汇总分析--俄罗斯'!B95</f>
        <v>销量完成</v>
      </c>
      <c r="C95" s="1">
        <f>'[2]2026年度男装数据汇总分析--俄罗斯'!C95</f>
        <v>0</v>
      </c>
      <c r="D95" s="1">
        <f>'[2]2026年度男装数据汇总分析--俄罗斯'!D95</f>
        <v>0</v>
      </c>
      <c r="E95" s="1">
        <f>'[2]2026年度男装数据汇总分析--俄罗斯'!E95</f>
        <v>0</v>
      </c>
      <c r="F95" s="1">
        <f>'[2]2026年度男装数据汇总分析--俄罗斯'!F95</f>
        <v>0</v>
      </c>
      <c r="G95" s="1">
        <f>'[2]2026年度男装数据汇总分析--俄罗斯'!G95</f>
        <v>0</v>
      </c>
      <c r="H95" s="1">
        <f>'[2]2026年度男装数据汇总分析--俄罗斯'!H95</f>
        <v>0</v>
      </c>
      <c r="I95" s="1">
        <f>'[2]2026年度男装数据汇总分析--俄罗斯'!I95</f>
        <v>0</v>
      </c>
      <c r="J95" s="1">
        <f>'[2]2026年度男装数据汇总分析--俄罗斯'!J95</f>
        <v>0</v>
      </c>
      <c r="K95" s="1">
        <f>'[2]2026年度男装数据汇总分析--俄罗斯'!K95</f>
        <v>0</v>
      </c>
      <c r="L95" s="1">
        <f>'[2]2026年度男装数据汇总分析--俄罗斯'!L95</f>
        <v>0</v>
      </c>
      <c r="M95" s="1">
        <f>'[2]2026年度男装数据汇总分析--俄罗斯'!M95</f>
        <v>0</v>
      </c>
      <c r="N95" s="1">
        <f>'[2]2026年度男装数据汇总分析--俄罗斯'!N95</f>
        <v>0</v>
      </c>
      <c r="O95" s="1">
        <f>'[2]2026年度男装数据汇总分析--俄罗斯'!O95</f>
        <v>0</v>
      </c>
    </row>
    <row r="96" s="34" customFormat="1" spans="1:15">
      <c r="A96" s="11">
        <f>'[2]2026年度男装数据汇总分析--俄罗斯'!A96</f>
        <v>0</v>
      </c>
      <c r="B96" s="1" t="str">
        <f>'[2]2026年度男装数据汇总分析--俄罗斯'!B96</f>
        <v>实销完成</v>
      </c>
      <c r="C96" s="1">
        <f>'[2]2026年度男装数据汇总分析--俄罗斯'!C96</f>
        <v>0</v>
      </c>
      <c r="D96" s="1">
        <f>'[2]2026年度男装数据汇总分析--俄罗斯'!D96</f>
        <v>0</v>
      </c>
      <c r="E96" s="1">
        <f>'[2]2026年度男装数据汇总分析--俄罗斯'!E96</f>
        <v>0</v>
      </c>
      <c r="F96" s="1">
        <f>'[2]2026年度男装数据汇总分析--俄罗斯'!F96</f>
        <v>0</v>
      </c>
      <c r="G96" s="1">
        <f>'[2]2026年度男装数据汇总分析--俄罗斯'!G96</f>
        <v>0</v>
      </c>
      <c r="H96" s="1">
        <f>'[2]2026年度男装数据汇总分析--俄罗斯'!H96</f>
        <v>0</v>
      </c>
      <c r="I96" s="1">
        <f>'[2]2026年度男装数据汇总分析--俄罗斯'!I96</f>
        <v>0</v>
      </c>
      <c r="J96" s="1">
        <f>'[2]2026年度男装数据汇总分析--俄罗斯'!J96</f>
        <v>0</v>
      </c>
      <c r="K96" s="1">
        <f>'[2]2026年度男装数据汇总分析--俄罗斯'!K96</f>
        <v>0</v>
      </c>
      <c r="L96" s="1">
        <f>'[2]2026年度男装数据汇总分析--俄罗斯'!L96</f>
        <v>0</v>
      </c>
      <c r="M96" s="1">
        <f>'[2]2026年度男装数据汇总分析--俄罗斯'!M96</f>
        <v>0</v>
      </c>
      <c r="N96" s="1">
        <f>'[2]2026年度男装数据汇总分析--俄罗斯'!N96</f>
        <v>0</v>
      </c>
      <c r="O96" s="1">
        <f>'[2]2026年度男装数据汇总分析--俄罗斯'!O96</f>
        <v>0</v>
      </c>
    </row>
    <row r="97" s="34" customFormat="1" spans="1:15">
      <c r="A97" s="11">
        <f>'[2]2026年度男装数据汇总分析--俄罗斯'!A97</f>
        <v>0</v>
      </c>
      <c r="B97" s="1" t="str">
        <f>'[2]2026年度男装数据汇总分析--俄罗斯'!B97</f>
        <v>GMV完成</v>
      </c>
      <c r="C97" s="1">
        <f>'[2]2026年度男装数据汇总分析--俄罗斯'!C97</f>
        <v>0</v>
      </c>
      <c r="D97" s="1">
        <f>'[2]2026年度男装数据汇总分析--俄罗斯'!D97</f>
        <v>0</v>
      </c>
      <c r="E97" s="1">
        <f>'[2]2026年度男装数据汇总分析--俄罗斯'!E97</f>
        <v>0</v>
      </c>
      <c r="F97" s="1">
        <f>'[2]2026年度男装数据汇总分析--俄罗斯'!F97</f>
        <v>0</v>
      </c>
      <c r="G97" s="1">
        <f>'[2]2026年度男装数据汇总分析--俄罗斯'!G97</f>
        <v>0</v>
      </c>
      <c r="H97" s="1">
        <f>'[2]2026年度男装数据汇总分析--俄罗斯'!H97</f>
        <v>0</v>
      </c>
      <c r="I97" s="1">
        <f>'[2]2026年度男装数据汇总分析--俄罗斯'!I97</f>
        <v>0</v>
      </c>
      <c r="J97" s="1">
        <f>'[2]2026年度男装数据汇总分析--俄罗斯'!J97</f>
        <v>0</v>
      </c>
      <c r="K97" s="1">
        <f>'[2]2026年度男装数据汇总分析--俄罗斯'!K97</f>
        <v>0</v>
      </c>
      <c r="L97" s="1">
        <f>'[2]2026年度男装数据汇总分析--俄罗斯'!L97</f>
        <v>0</v>
      </c>
      <c r="M97" s="1">
        <f>'[2]2026年度男装数据汇总分析--俄罗斯'!M97</f>
        <v>0</v>
      </c>
      <c r="N97" s="1">
        <f>'[2]2026年度男装数据汇总分析--俄罗斯'!N97</f>
        <v>0</v>
      </c>
      <c r="O97" s="1">
        <f>'[2]2026年度男装数据汇总分析--俄罗斯'!O97</f>
        <v>0</v>
      </c>
    </row>
    <row r="98" s="34" customFormat="1" spans="1:15">
      <c r="A98" s="11">
        <f>'[2]2026年度男装数据汇总分析--俄罗斯'!A98</f>
        <v>0</v>
      </c>
      <c r="B98" s="1" t="str">
        <f>'[2]2026年度男装数据汇总分析--俄罗斯'!B98</f>
        <v>GSV完成</v>
      </c>
      <c r="C98" s="1">
        <f>'[2]2026年度男装数据汇总分析--俄罗斯'!C98</f>
        <v>0</v>
      </c>
      <c r="D98" s="1">
        <f>'[2]2026年度男装数据汇总分析--俄罗斯'!D98</f>
        <v>0</v>
      </c>
      <c r="E98" s="1">
        <f>'[2]2026年度男装数据汇总分析--俄罗斯'!E98</f>
        <v>0</v>
      </c>
      <c r="F98" s="1">
        <f>'[2]2026年度男装数据汇总分析--俄罗斯'!F98</f>
        <v>0</v>
      </c>
      <c r="G98" s="1">
        <f>'[2]2026年度男装数据汇总分析--俄罗斯'!G98</f>
        <v>0</v>
      </c>
      <c r="H98" s="1">
        <f>'[2]2026年度男装数据汇总分析--俄罗斯'!H98</f>
        <v>0</v>
      </c>
      <c r="I98" s="1">
        <f>'[2]2026年度男装数据汇总分析--俄罗斯'!I98</f>
        <v>0</v>
      </c>
      <c r="J98" s="1">
        <f>'[2]2026年度男装数据汇总分析--俄罗斯'!J98</f>
        <v>0</v>
      </c>
      <c r="K98" s="1">
        <f>'[2]2026年度男装数据汇总分析--俄罗斯'!K98</f>
        <v>0</v>
      </c>
      <c r="L98" s="1">
        <f>'[2]2026年度男装数据汇总分析--俄罗斯'!L98</f>
        <v>0</v>
      </c>
      <c r="M98" s="1">
        <f>'[2]2026年度男装数据汇总分析--俄罗斯'!M98</f>
        <v>0</v>
      </c>
      <c r="N98" s="1">
        <f>'[2]2026年度男装数据汇总分析--俄罗斯'!N98</f>
        <v>0</v>
      </c>
      <c r="O98" s="1">
        <f>'[2]2026年度男装数据汇总分析--俄罗斯'!O98</f>
        <v>0</v>
      </c>
    </row>
    <row r="99" s="34" customFormat="1" spans="1:15">
      <c r="A99" s="11">
        <f>'[2]2026年度男装数据汇总分析--俄罗斯'!A99</f>
        <v>0</v>
      </c>
      <c r="B99" s="1" t="str">
        <f>'[2]2026年度男装数据汇总分析--俄罗斯'!B99</f>
        <v>退款率</v>
      </c>
      <c r="C99" s="5" t="e">
        <f>'[2]2026年度男装数据汇总分析--俄罗斯'!C99</f>
        <v>#DIV/0!</v>
      </c>
      <c r="D99" s="5" t="e">
        <f>'[2]2026年度男装数据汇总分析--俄罗斯'!D99</f>
        <v>#DIV/0!</v>
      </c>
      <c r="E99" s="5" t="e">
        <f>'[2]2026年度男装数据汇总分析--俄罗斯'!E99</f>
        <v>#DIV/0!</v>
      </c>
      <c r="F99" s="5" t="e">
        <f>'[2]2026年度男装数据汇总分析--俄罗斯'!F99</f>
        <v>#DIV/0!</v>
      </c>
      <c r="G99" s="5" t="e">
        <f>'[2]2026年度男装数据汇总分析--俄罗斯'!G99</f>
        <v>#DIV/0!</v>
      </c>
      <c r="H99" s="5" t="e">
        <f>'[2]2026年度男装数据汇总分析--俄罗斯'!H99</f>
        <v>#DIV/0!</v>
      </c>
      <c r="I99" s="5" t="e">
        <f>'[2]2026年度男装数据汇总分析--俄罗斯'!I99</f>
        <v>#DIV/0!</v>
      </c>
      <c r="J99" s="5" t="e">
        <f>'[2]2026年度男装数据汇总分析--俄罗斯'!J99</f>
        <v>#DIV/0!</v>
      </c>
      <c r="K99" s="5" t="e">
        <f>'[2]2026年度男装数据汇总分析--俄罗斯'!K99</f>
        <v>#DIV/0!</v>
      </c>
      <c r="L99" s="5" t="e">
        <f>'[2]2026年度男装数据汇总分析--俄罗斯'!L99</f>
        <v>#DIV/0!</v>
      </c>
      <c r="M99" s="5" t="e">
        <f>'[2]2026年度男装数据汇总分析--俄罗斯'!M99</f>
        <v>#DIV/0!</v>
      </c>
      <c r="N99" s="5" t="e">
        <f>'[2]2026年度男装数据汇总分析--俄罗斯'!N99</f>
        <v>#DIV/0!</v>
      </c>
      <c r="O99" s="5" t="e">
        <f>'[2]2026年度男装数据汇总分析--俄罗斯'!O99</f>
        <v>#DIV/0!</v>
      </c>
    </row>
    <row r="100" s="34" customFormat="1" spans="1:15">
      <c r="A100" s="11">
        <f>'[2]2026年度男装数据汇总分析--俄罗斯'!A100</f>
        <v>0</v>
      </c>
      <c r="B100" s="1" t="str">
        <f>'[2]2026年度男装数据汇总分析--俄罗斯'!B100</f>
        <v>退货率</v>
      </c>
      <c r="C100" s="5" t="e">
        <f>'[2]2026年度男装数据汇总分析--俄罗斯'!C100</f>
        <v>#DIV/0!</v>
      </c>
      <c r="D100" s="5" t="e">
        <f>'[2]2026年度男装数据汇总分析--俄罗斯'!D100</f>
        <v>#DIV/0!</v>
      </c>
      <c r="E100" s="5" t="e">
        <f>'[2]2026年度男装数据汇总分析--俄罗斯'!E100</f>
        <v>#DIV/0!</v>
      </c>
      <c r="F100" s="5" t="e">
        <f>'[2]2026年度男装数据汇总分析--俄罗斯'!F100</f>
        <v>#DIV/0!</v>
      </c>
      <c r="G100" s="5" t="e">
        <f>'[2]2026年度男装数据汇总分析--俄罗斯'!G100</f>
        <v>#DIV/0!</v>
      </c>
      <c r="H100" s="5" t="e">
        <f>'[2]2026年度男装数据汇总分析--俄罗斯'!H100</f>
        <v>#DIV/0!</v>
      </c>
      <c r="I100" s="5" t="e">
        <f>'[2]2026年度男装数据汇总分析--俄罗斯'!I100</f>
        <v>#DIV/0!</v>
      </c>
      <c r="J100" s="5" t="e">
        <f>'[2]2026年度男装数据汇总分析--俄罗斯'!J100</f>
        <v>#DIV/0!</v>
      </c>
      <c r="K100" s="5" t="e">
        <f>'[2]2026年度男装数据汇总分析--俄罗斯'!K100</f>
        <v>#DIV/0!</v>
      </c>
      <c r="L100" s="5" t="e">
        <f>'[2]2026年度男装数据汇总分析--俄罗斯'!L100</f>
        <v>#DIV/0!</v>
      </c>
      <c r="M100" s="5" t="e">
        <f>'[2]2026年度男装数据汇总分析--俄罗斯'!M100</f>
        <v>#DIV/0!</v>
      </c>
      <c r="N100" s="5" t="e">
        <f>'[2]2026年度男装数据汇总分析--俄罗斯'!N100</f>
        <v>#DIV/0!</v>
      </c>
      <c r="O100" s="5" t="e">
        <f>'[2]2026年度男装数据汇总分析--俄罗斯'!O100</f>
        <v>#DIV/0!</v>
      </c>
    </row>
    <row r="101" s="34" customFormat="1" spans="1:15">
      <c r="A101" s="24">
        <f>'[2]2026年度男装数据汇总分析--俄罗斯'!A101</f>
        <v>0</v>
      </c>
      <c r="B101" s="1" t="str">
        <f>'[2]2026年度男装数据汇总分析--俄罗斯'!B101</f>
        <v>利润率</v>
      </c>
      <c r="C101" s="5" t="e">
        <f>'[2]2026年度男装数据汇总分析--俄罗斯'!C101</f>
        <v>#DIV/0!</v>
      </c>
      <c r="D101" s="5" t="e">
        <f>'[2]2026年度男装数据汇总分析--俄罗斯'!D101</f>
        <v>#DIV/0!</v>
      </c>
      <c r="E101" s="5" t="e">
        <f>'[2]2026年度男装数据汇总分析--俄罗斯'!E101</f>
        <v>#DIV/0!</v>
      </c>
      <c r="F101" s="5" t="e">
        <f>'[2]2026年度男装数据汇总分析--俄罗斯'!F101</f>
        <v>#DIV/0!</v>
      </c>
      <c r="G101" s="5" t="e">
        <f>'[2]2026年度男装数据汇总分析--俄罗斯'!G101</f>
        <v>#DIV/0!</v>
      </c>
      <c r="H101" s="5" t="e">
        <f>'[2]2026年度男装数据汇总分析--俄罗斯'!H101</f>
        <v>#DIV/0!</v>
      </c>
      <c r="I101" s="5" t="e">
        <f>'[2]2026年度男装数据汇总分析--俄罗斯'!I101</f>
        <v>#DIV/0!</v>
      </c>
      <c r="J101" s="5" t="e">
        <f>'[2]2026年度男装数据汇总分析--俄罗斯'!J101</f>
        <v>#DIV/0!</v>
      </c>
      <c r="K101" s="5" t="e">
        <f>'[2]2026年度男装数据汇总分析--俄罗斯'!K101</f>
        <v>#DIV/0!</v>
      </c>
      <c r="L101" s="5" t="e">
        <f>'[2]2026年度男装数据汇总分析--俄罗斯'!L101</f>
        <v>#DIV/0!</v>
      </c>
      <c r="M101" s="5" t="e">
        <f>'[2]2026年度男装数据汇总分析--俄罗斯'!M101</f>
        <v>#DIV/0!</v>
      </c>
      <c r="N101" s="5" t="e">
        <f>'[2]2026年度男装数据汇总分析--俄罗斯'!N101</f>
        <v>#DIV/0!</v>
      </c>
      <c r="O101" s="5" t="e">
        <f>'[2]2026年度男装数据汇总分析--俄罗斯'!O101</f>
        <v>#DIV/0!</v>
      </c>
    </row>
    <row r="102" s="34" customFormat="1" spans="1:15">
      <c r="A102" s="8" t="str">
        <f>'[2]2026年度男装数据汇总分析--俄罗斯'!A102</f>
        <v>新店6</v>
      </c>
      <c r="B102" s="1" t="str">
        <f>'[2]2026年度男装数据汇总分析--俄罗斯'!B102</f>
        <v>实际利润（人民币）</v>
      </c>
      <c r="C102" s="1">
        <f>'[2]2026年度男装数据汇总分析--俄罗斯'!C102</f>
        <v>0</v>
      </c>
      <c r="D102" s="1">
        <f>'[2]2026年度男装数据汇总分析--俄罗斯'!D102</f>
        <v>0</v>
      </c>
      <c r="E102" s="1">
        <f>'[2]2026年度男装数据汇总分析--俄罗斯'!E102</f>
        <v>0</v>
      </c>
      <c r="F102" s="1">
        <f>'[2]2026年度男装数据汇总分析--俄罗斯'!F102</f>
        <v>0</v>
      </c>
      <c r="G102" s="1">
        <f>'[2]2026年度男装数据汇总分析--俄罗斯'!G102</f>
        <v>0</v>
      </c>
      <c r="H102" s="1">
        <f>'[2]2026年度男装数据汇总分析--俄罗斯'!H102</f>
        <v>0</v>
      </c>
      <c r="I102" s="1">
        <f>'[2]2026年度男装数据汇总分析--俄罗斯'!I102</f>
        <v>0</v>
      </c>
      <c r="J102" s="1">
        <f>'[2]2026年度男装数据汇总分析--俄罗斯'!J102</f>
        <v>0</v>
      </c>
      <c r="K102" s="1">
        <f>'[2]2026年度男装数据汇总分析--俄罗斯'!K102</f>
        <v>0</v>
      </c>
      <c r="L102" s="1">
        <f>'[2]2026年度男装数据汇总分析--俄罗斯'!L102</f>
        <v>0</v>
      </c>
      <c r="M102" s="1">
        <f>'[2]2026年度男装数据汇总分析--俄罗斯'!M102</f>
        <v>0</v>
      </c>
      <c r="N102" s="1">
        <f>'[2]2026年度男装数据汇总分析--俄罗斯'!N102</f>
        <v>0</v>
      </c>
      <c r="O102" s="1">
        <f>'[2]2026年度男装数据汇总分析--俄罗斯'!O102</f>
        <v>0</v>
      </c>
    </row>
    <row r="103" s="34" customFormat="1" spans="1:15">
      <c r="A103" s="11">
        <f>'[2]2026年度男装数据汇总分析--俄罗斯'!A103</f>
        <v>0</v>
      </c>
      <c r="B103" s="1" t="str">
        <f>'[2]2026年度男装数据汇总分析--俄罗斯'!B103</f>
        <v>销量完成</v>
      </c>
      <c r="C103" s="1">
        <f>'[2]2026年度男装数据汇总分析--俄罗斯'!C103</f>
        <v>0</v>
      </c>
      <c r="D103" s="1">
        <f>'[2]2026年度男装数据汇总分析--俄罗斯'!D103</f>
        <v>0</v>
      </c>
      <c r="E103" s="1">
        <f>'[2]2026年度男装数据汇总分析--俄罗斯'!E103</f>
        <v>0</v>
      </c>
      <c r="F103" s="1">
        <f>'[2]2026年度男装数据汇总分析--俄罗斯'!F103</f>
        <v>0</v>
      </c>
      <c r="G103" s="1">
        <f>'[2]2026年度男装数据汇总分析--俄罗斯'!G103</f>
        <v>0</v>
      </c>
      <c r="H103" s="1">
        <f>'[2]2026年度男装数据汇总分析--俄罗斯'!H103</f>
        <v>0</v>
      </c>
      <c r="I103" s="1">
        <f>'[2]2026年度男装数据汇总分析--俄罗斯'!I103</f>
        <v>0</v>
      </c>
      <c r="J103" s="1">
        <f>'[2]2026年度男装数据汇总分析--俄罗斯'!J103</f>
        <v>0</v>
      </c>
      <c r="K103" s="1">
        <f>'[2]2026年度男装数据汇总分析--俄罗斯'!K103</f>
        <v>0</v>
      </c>
      <c r="L103" s="1">
        <f>'[2]2026年度男装数据汇总分析--俄罗斯'!L103</f>
        <v>0</v>
      </c>
      <c r="M103" s="1">
        <f>'[2]2026年度男装数据汇总分析--俄罗斯'!M103</f>
        <v>0</v>
      </c>
      <c r="N103" s="1">
        <f>'[2]2026年度男装数据汇总分析--俄罗斯'!N103</f>
        <v>0</v>
      </c>
      <c r="O103" s="1">
        <f>'[2]2026年度男装数据汇总分析--俄罗斯'!O103</f>
        <v>0</v>
      </c>
    </row>
    <row r="104" s="34" customFormat="1" spans="1:15">
      <c r="A104" s="11">
        <f>'[2]2026年度男装数据汇总分析--俄罗斯'!A104</f>
        <v>0</v>
      </c>
      <c r="B104" s="1" t="str">
        <f>'[2]2026年度男装数据汇总分析--俄罗斯'!B104</f>
        <v>实销完成</v>
      </c>
      <c r="C104" s="1">
        <f>'[2]2026年度男装数据汇总分析--俄罗斯'!C104</f>
        <v>0</v>
      </c>
      <c r="D104" s="1">
        <f>'[2]2026年度男装数据汇总分析--俄罗斯'!D104</f>
        <v>0</v>
      </c>
      <c r="E104" s="1">
        <f>'[2]2026年度男装数据汇总分析--俄罗斯'!E104</f>
        <v>0</v>
      </c>
      <c r="F104" s="1">
        <f>'[2]2026年度男装数据汇总分析--俄罗斯'!F104</f>
        <v>0</v>
      </c>
      <c r="G104" s="1">
        <f>'[2]2026年度男装数据汇总分析--俄罗斯'!G104</f>
        <v>0</v>
      </c>
      <c r="H104" s="1">
        <f>'[2]2026年度男装数据汇总分析--俄罗斯'!H104</f>
        <v>0</v>
      </c>
      <c r="I104" s="1">
        <f>'[2]2026年度男装数据汇总分析--俄罗斯'!I104</f>
        <v>0</v>
      </c>
      <c r="J104" s="1">
        <f>'[2]2026年度男装数据汇总分析--俄罗斯'!J104</f>
        <v>0</v>
      </c>
      <c r="K104" s="1">
        <f>'[2]2026年度男装数据汇总分析--俄罗斯'!K104</f>
        <v>0</v>
      </c>
      <c r="L104" s="1">
        <f>'[2]2026年度男装数据汇总分析--俄罗斯'!L104</f>
        <v>0</v>
      </c>
      <c r="M104" s="1">
        <f>'[2]2026年度男装数据汇总分析--俄罗斯'!M104</f>
        <v>0</v>
      </c>
      <c r="N104" s="1">
        <f>'[2]2026年度男装数据汇总分析--俄罗斯'!N104</f>
        <v>0</v>
      </c>
      <c r="O104" s="1">
        <f>'[2]2026年度男装数据汇总分析--俄罗斯'!O104</f>
        <v>0</v>
      </c>
    </row>
    <row r="105" s="34" customFormat="1" spans="1:15">
      <c r="A105" s="11">
        <f>'[2]2026年度男装数据汇总分析--俄罗斯'!A105</f>
        <v>0</v>
      </c>
      <c r="B105" s="1" t="str">
        <f>'[2]2026年度男装数据汇总分析--俄罗斯'!B105</f>
        <v>GMV完成</v>
      </c>
      <c r="C105" s="1">
        <f>'[2]2026年度男装数据汇总分析--俄罗斯'!C105</f>
        <v>0</v>
      </c>
      <c r="D105" s="1">
        <f>'[2]2026年度男装数据汇总分析--俄罗斯'!D105</f>
        <v>0</v>
      </c>
      <c r="E105" s="1">
        <f>'[2]2026年度男装数据汇总分析--俄罗斯'!E105</f>
        <v>0</v>
      </c>
      <c r="F105" s="1">
        <f>'[2]2026年度男装数据汇总分析--俄罗斯'!F105</f>
        <v>0</v>
      </c>
      <c r="G105" s="1">
        <f>'[2]2026年度男装数据汇总分析--俄罗斯'!G105</f>
        <v>0</v>
      </c>
      <c r="H105" s="1">
        <f>'[2]2026年度男装数据汇总分析--俄罗斯'!H105</f>
        <v>0</v>
      </c>
      <c r="I105" s="1">
        <f>'[2]2026年度男装数据汇总分析--俄罗斯'!I105</f>
        <v>0</v>
      </c>
      <c r="J105" s="1">
        <f>'[2]2026年度男装数据汇总分析--俄罗斯'!J105</f>
        <v>0</v>
      </c>
      <c r="K105" s="1">
        <f>'[2]2026年度男装数据汇总分析--俄罗斯'!K105</f>
        <v>0</v>
      </c>
      <c r="L105" s="1">
        <f>'[2]2026年度男装数据汇总分析--俄罗斯'!L105</f>
        <v>0</v>
      </c>
      <c r="M105" s="1">
        <f>'[2]2026年度男装数据汇总分析--俄罗斯'!M105</f>
        <v>0</v>
      </c>
      <c r="N105" s="1">
        <f>'[2]2026年度男装数据汇总分析--俄罗斯'!N105</f>
        <v>0</v>
      </c>
      <c r="O105" s="1">
        <f>'[2]2026年度男装数据汇总分析--俄罗斯'!O105</f>
        <v>0</v>
      </c>
    </row>
    <row r="106" s="34" customFormat="1" spans="1:15">
      <c r="A106" s="11">
        <f>'[2]2026年度男装数据汇总分析--俄罗斯'!A106</f>
        <v>0</v>
      </c>
      <c r="B106" s="1" t="str">
        <f>'[2]2026年度男装数据汇总分析--俄罗斯'!B106</f>
        <v>GSV完成</v>
      </c>
      <c r="C106" s="1">
        <f>'[2]2026年度男装数据汇总分析--俄罗斯'!C106</f>
        <v>0</v>
      </c>
      <c r="D106" s="1">
        <f>'[2]2026年度男装数据汇总分析--俄罗斯'!D106</f>
        <v>0</v>
      </c>
      <c r="E106" s="1">
        <f>'[2]2026年度男装数据汇总分析--俄罗斯'!E106</f>
        <v>0</v>
      </c>
      <c r="F106" s="1">
        <f>'[2]2026年度男装数据汇总分析--俄罗斯'!F106</f>
        <v>0</v>
      </c>
      <c r="G106" s="1">
        <f>'[2]2026年度男装数据汇总分析--俄罗斯'!G106</f>
        <v>0</v>
      </c>
      <c r="H106" s="1">
        <f>'[2]2026年度男装数据汇总分析--俄罗斯'!H106</f>
        <v>0</v>
      </c>
      <c r="I106" s="1">
        <f>'[2]2026年度男装数据汇总分析--俄罗斯'!I106</f>
        <v>0</v>
      </c>
      <c r="J106" s="1">
        <f>'[2]2026年度男装数据汇总分析--俄罗斯'!J106</f>
        <v>0</v>
      </c>
      <c r="K106" s="1">
        <f>'[2]2026年度男装数据汇总分析--俄罗斯'!K106</f>
        <v>0</v>
      </c>
      <c r="L106" s="1">
        <f>'[2]2026年度男装数据汇总分析--俄罗斯'!L106</f>
        <v>0</v>
      </c>
      <c r="M106" s="1">
        <f>'[2]2026年度男装数据汇总分析--俄罗斯'!M106</f>
        <v>0</v>
      </c>
      <c r="N106" s="1">
        <f>'[2]2026年度男装数据汇总分析--俄罗斯'!N106</f>
        <v>0</v>
      </c>
      <c r="O106" s="1">
        <f>'[2]2026年度男装数据汇总分析--俄罗斯'!O106</f>
        <v>0</v>
      </c>
    </row>
    <row r="107" s="34" customFormat="1" spans="1:15">
      <c r="A107" s="11">
        <f>'[2]2026年度男装数据汇总分析--俄罗斯'!A107</f>
        <v>0</v>
      </c>
      <c r="B107" s="1" t="str">
        <f>'[2]2026年度男装数据汇总分析--俄罗斯'!B107</f>
        <v>退款率</v>
      </c>
      <c r="C107" s="5" t="e">
        <f>'[2]2026年度男装数据汇总分析--俄罗斯'!C107</f>
        <v>#DIV/0!</v>
      </c>
      <c r="D107" s="5" t="e">
        <f>'[2]2026年度男装数据汇总分析--俄罗斯'!D107</f>
        <v>#DIV/0!</v>
      </c>
      <c r="E107" s="5" t="e">
        <f>'[2]2026年度男装数据汇总分析--俄罗斯'!E107</f>
        <v>#DIV/0!</v>
      </c>
      <c r="F107" s="5" t="e">
        <f>'[2]2026年度男装数据汇总分析--俄罗斯'!F107</f>
        <v>#DIV/0!</v>
      </c>
      <c r="G107" s="5" t="e">
        <f>'[2]2026年度男装数据汇总分析--俄罗斯'!G107</f>
        <v>#DIV/0!</v>
      </c>
      <c r="H107" s="5" t="e">
        <f>'[2]2026年度男装数据汇总分析--俄罗斯'!H107</f>
        <v>#DIV/0!</v>
      </c>
      <c r="I107" s="5" t="e">
        <f>'[2]2026年度男装数据汇总分析--俄罗斯'!I107</f>
        <v>#DIV/0!</v>
      </c>
      <c r="J107" s="5" t="e">
        <f>'[2]2026年度男装数据汇总分析--俄罗斯'!J107</f>
        <v>#DIV/0!</v>
      </c>
      <c r="K107" s="5" t="e">
        <f>'[2]2026年度男装数据汇总分析--俄罗斯'!K107</f>
        <v>#DIV/0!</v>
      </c>
      <c r="L107" s="5" t="e">
        <f>'[2]2026年度男装数据汇总分析--俄罗斯'!L107</f>
        <v>#DIV/0!</v>
      </c>
      <c r="M107" s="5" t="e">
        <f>'[2]2026年度男装数据汇总分析--俄罗斯'!M107</f>
        <v>#DIV/0!</v>
      </c>
      <c r="N107" s="5" t="e">
        <f>'[2]2026年度男装数据汇总分析--俄罗斯'!N107</f>
        <v>#DIV/0!</v>
      </c>
      <c r="O107" s="5" t="e">
        <f>'[2]2026年度男装数据汇总分析--俄罗斯'!O107</f>
        <v>#DIV/0!</v>
      </c>
    </row>
    <row r="108" s="34" customFormat="1" spans="1:15">
      <c r="A108" s="11">
        <f>'[2]2026年度男装数据汇总分析--俄罗斯'!A108</f>
        <v>0</v>
      </c>
      <c r="B108" s="1" t="str">
        <f>'[2]2026年度男装数据汇总分析--俄罗斯'!B108</f>
        <v>退货率</v>
      </c>
      <c r="C108" s="5" t="e">
        <f>'[2]2026年度男装数据汇总分析--俄罗斯'!C108</f>
        <v>#DIV/0!</v>
      </c>
      <c r="D108" s="5" t="e">
        <f>'[2]2026年度男装数据汇总分析--俄罗斯'!D108</f>
        <v>#DIV/0!</v>
      </c>
      <c r="E108" s="5" t="e">
        <f>'[2]2026年度男装数据汇总分析--俄罗斯'!E108</f>
        <v>#DIV/0!</v>
      </c>
      <c r="F108" s="5" t="e">
        <f>'[2]2026年度男装数据汇总分析--俄罗斯'!F108</f>
        <v>#DIV/0!</v>
      </c>
      <c r="G108" s="5" t="e">
        <f>'[2]2026年度男装数据汇总分析--俄罗斯'!G108</f>
        <v>#DIV/0!</v>
      </c>
      <c r="H108" s="5" t="e">
        <f>'[2]2026年度男装数据汇总分析--俄罗斯'!H108</f>
        <v>#DIV/0!</v>
      </c>
      <c r="I108" s="5" t="e">
        <f>'[2]2026年度男装数据汇总分析--俄罗斯'!I108</f>
        <v>#DIV/0!</v>
      </c>
      <c r="J108" s="5" t="e">
        <f>'[2]2026年度男装数据汇总分析--俄罗斯'!J108</f>
        <v>#DIV/0!</v>
      </c>
      <c r="K108" s="5" t="e">
        <f>'[2]2026年度男装数据汇总分析--俄罗斯'!K108</f>
        <v>#DIV/0!</v>
      </c>
      <c r="L108" s="5" t="e">
        <f>'[2]2026年度男装数据汇总分析--俄罗斯'!L108</f>
        <v>#DIV/0!</v>
      </c>
      <c r="M108" s="5" t="e">
        <f>'[2]2026年度男装数据汇总分析--俄罗斯'!M108</f>
        <v>#DIV/0!</v>
      </c>
      <c r="N108" s="5" t="e">
        <f>'[2]2026年度男装数据汇总分析--俄罗斯'!N108</f>
        <v>#DIV/0!</v>
      </c>
      <c r="O108" s="5" t="e">
        <f>'[2]2026年度男装数据汇总分析--俄罗斯'!O108</f>
        <v>#DIV/0!</v>
      </c>
    </row>
    <row r="109" s="34" customFormat="1" spans="1:15">
      <c r="A109" s="24">
        <f>'[2]2026年度男装数据汇总分析--俄罗斯'!A109</f>
        <v>0</v>
      </c>
      <c r="B109" s="1" t="str">
        <f>'[2]2026年度男装数据汇总分析--俄罗斯'!B109</f>
        <v>利润率</v>
      </c>
      <c r="C109" s="5" t="e">
        <f>'[2]2026年度男装数据汇总分析--俄罗斯'!C109</f>
        <v>#DIV/0!</v>
      </c>
      <c r="D109" s="5" t="e">
        <f>'[2]2026年度男装数据汇总分析--俄罗斯'!D109</f>
        <v>#DIV/0!</v>
      </c>
      <c r="E109" s="5" t="e">
        <f>'[2]2026年度男装数据汇总分析--俄罗斯'!E109</f>
        <v>#DIV/0!</v>
      </c>
      <c r="F109" s="5" t="e">
        <f>'[2]2026年度男装数据汇总分析--俄罗斯'!F109</f>
        <v>#DIV/0!</v>
      </c>
      <c r="G109" s="5" t="e">
        <f>'[2]2026年度男装数据汇总分析--俄罗斯'!G109</f>
        <v>#DIV/0!</v>
      </c>
      <c r="H109" s="5" t="e">
        <f>'[2]2026年度男装数据汇总分析--俄罗斯'!H109</f>
        <v>#DIV/0!</v>
      </c>
      <c r="I109" s="5" t="e">
        <f>'[2]2026年度男装数据汇总分析--俄罗斯'!I109</f>
        <v>#DIV/0!</v>
      </c>
      <c r="J109" s="5" t="e">
        <f>'[2]2026年度男装数据汇总分析--俄罗斯'!J109</f>
        <v>#DIV/0!</v>
      </c>
      <c r="K109" s="5" t="e">
        <f>'[2]2026年度男装数据汇总分析--俄罗斯'!K109</f>
        <v>#DIV/0!</v>
      </c>
      <c r="L109" s="5" t="e">
        <f>'[2]2026年度男装数据汇总分析--俄罗斯'!L109</f>
        <v>#DIV/0!</v>
      </c>
      <c r="M109" s="5" t="e">
        <f>'[2]2026年度男装数据汇总分析--俄罗斯'!M109</f>
        <v>#DIV/0!</v>
      </c>
      <c r="N109" s="5" t="e">
        <f>'[2]2026年度男装数据汇总分析--俄罗斯'!N109</f>
        <v>#DIV/0!</v>
      </c>
      <c r="O109" s="5" t="e">
        <f>'[2]2026年度男装数据汇总分析--俄罗斯'!O109</f>
        <v>#DIV/0!</v>
      </c>
    </row>
    <row r="110" s="34" customFormat="1" spans="1:15">
      <c r="A110" s="8" t="str">
        <f>'[2]2026年度男装数据汇总分析--俄罗斯'!A110</f>
        <v>新店7</v>
      </c>
      <c r="B110" s="1" t="str">
        <f>'[2]2026年度男装数据汇总分析--俄罗斯'!B110</f>
        <v>实际利润（人民币）</v>
      </c>
      <c r="C110" s="1">
        <f>'[2]2026年度男装数据汇总分析--俄罗斯'!C110</f>
        <v>0</v>
      </c>
      <c r="D110" s="1">
        <f>'[2]2026年度男装数据汇总分析--俄罗斯'!D110</f>
        <v>0</v>
      </c>
      <c r="E110" s="1">
        <f>'[2]2026年度男装数据汇总分析--俄罗斯'!E110</f>
        <v>0</v>
      </c>
      <c r="F110" s="1">
        <f>'[2]2026年度男装数据汇总分析--俄罗斯'!F110</f>
        <v>0</v>
      </c>
      <c r="G110" s="1">
        <f>'[2]2026年度男装数据汇总分析--俄罗斯'!G110</f>
        <v>0</v>
      </c>
      <c r="H110" s="1">
        <f>'[2]2026年度男装数据汇总分析--俄罗斯'!H110</f>
        <v>0</v>
      </c>
      <c r="I110" s="1">
        <f>'[2]2026年度男装数据汇总分析--俄罗斯'!I110</f>
        <v>0</v>
      </c>
      <c r="J110" s="1">
        <f>'[2]2026年度男装数据汇总分析--俄罗斯'!J110</f>
        <v>0</v>
      </c>
      <c r="K110" s="1">
        <f>'[2]2026年度男装数据汇总分析--俄罗斯'!K110</f>
        <v>0</v>
      </c>
      <c r="L110" s="1">
        <f>'[2]2026年度男装数据汇总分析--俄罗斯'!L110</f>
        <v>0</v>
      </c>
      <c r="M110" s="1">
        <f>'[2]2026年度男装数据汇总分析--俄罗斯'!M110</f>
        <v>0</v>
      </c>
      <c r="N110" s="1">
        <f>'[2]2026年度男装数据汇总分析--俄罗斯'!N110</f>
        <v>0</v>
      </c>
      <c r="O110" s="1">
        <f>'[2]2026年度男装数据汇总分析--俄罗斯'!O110</f>
        <v>0</v>
      </c>
    </row>
    <row r="111" s="34" customFormat="1" spans="1:15">
      <c r="A111" s="11">
        <f>'[2]2026年度男装数据汇总分析--俄罗斯'!A111</f>
        <v>0</v>
      </c>
      <c r="B111" s="1" t="str">
        <f>'[2]2026年度男装数据汇总分析--俄罗斯'!B111</f>
        <v>销量完成</v>
      </c>
      <c r="C111" s="1">
        <f>'[2]2026年度男装数据汇总分析--俄罗斯'!C111</f>
        <v>0</v>
      </c>
      <c r="D111" s="1">
        <f>'[2]2026年度男装数据汇总分析--俄罗斯'!D111</f>
        <v>0</v>
      </c>
      <c r="E111" s="1">
        <f>'[2]2026年度男装数据汇总分析--俄罗斯'!E111</f>
        <v>0</v>
      </c>
      <c r="F111" s="1">
        <f>'[2]2026年度男装数据汇总分析--俄罗斯'!F111</f>
        <v>0</v>
      </c>
      <c r="G111" s="1">
        <f>'[2]2026年度男装数据汇总分析--俄罗斯'!G111</f>
        <v>0</v>
      </c>
      <c r="H111" s="1">
        <f>'[2]2026年度男装数据汇总分析--俄罗斯'!H111</f>
        <v>0</v>
      </c>
      <c r="I111" s="1">
        <f>'[2]2026年度男装数据汇总分析--俄罗斯'!I111</f>
        <v>0</v>
      </c>
      <c r="J111" s="1">
        <f>'[2]2026年度男装数据汇总分析--俄罗斯'!J111</f>
        <v>0</v>
      </c>
      <c r="K111" s="1">
        <f>'[2]2026年度男装数据汇总分析--俄罗斯'!K111</f>
        <v>0</v>
      </c>
      <c r="L111" s="1">
        <f>'[2]2026年度男装数据汇总分析--俄罗斯'!L111</f>
        <v>0</v>
      </c>
      <c r="M111" s="1">
        <f>'[2]2026年度男装数据汇总分析--俄罗斯'!M111</f>
        <v>0</v>
      </c>
      <c r="N111" s="1">
        <f>'[2]2026年度男装数据汇总分析--俄罗斯'!N111</f>
        <v>0</v>
      </c>
      <c r="O111" s="1">
        <f>'[2]2026年度男装数据汇总分析--俄罗斯'!O111</f>
        <v>0</v>
      </c>
    </row>
    <row r="112" s="34" customFormat="1" spans="1:15">
      <c r="A112" s="11">
        <f>'[2]2026年度男装数据汇总分析--俄罗斯'!A112</f>
        <v>0</v>
      </c>
      <c r="B112" s="1" t="str">
        <f>'[2]2026年度男装数据汇总分析--俄罗斯'!B112</f>
        <v>实销完成</v>
      </c>
      <c r="C112" s="1">
        <f>'[2]2026年度男装数据汇总分析--俄罗斯'!C112</f>
        <v>0</v>
      </c>
      <c r="D112" s="1">
        <f>'[2]2026年度男装数据汇总分析--俄罗斯'!D112</f>
        <v>0</v>
      </c>
      <c r="E112" s="1">
        <f>'[2]2026年度男装数据汇总分析--俄罗斯'!E112</f>
        <v>0</v>
      </c>
      <c r="F112" s="1">
        <f>'[2]2026年度男装数据汇总分析--俄罗斯'!F112</f>
        <v>0</v>
      </c>
      <c r="G112" s="1">
        <f>'[2]2026年度男装数据汇总分析--俄罗斯'!G112</f>
        <v>0</v>
      </c>
      <c r="H112" s="1">
        <f>'[2]2026年度男装数据汇总分析--俄罗斯'!H112</f>
        <v>0</v>
      </c>
      <c r="I112" s="1">
        <f>'[2]2026年度男装数据汇总分析--俄罗斯'!I112</f>
        <v>0</v>
      </c>
      <c r="J112" s="1">
        <f>'[2]2026年度男装数据汇总分析--俄罗斯'!J112</f>
        <v>0</v>
      </c>
      <c r="K112" s="1">
        <f>'[2]2026年度男装数据汇总分析--俄罗斯'!K112</f>
        <v>0</v>
      </c>
      <c r="L112" s="1">
        <f>'[2]2026年度男装数据汇总分析--俄罗斯'!L112</f>
        <v>0</v>
      </c>
      <c r="M112" s="1">
        <f>'[2]2026年度男装数据汇总分析--俄罗斯'!M112</f>
        <v>0</v>
      </c>
      <c r="N112" s="1">
        <f>'[2]2026年度男装数据汇总分析--俄罗斯'!N112</f>
        <v>0</v>
      </c>
      <c r="O112" s="1">
        <f>'[2]2026年度男装数据汇总分析--俄罗斯'!O112</f>
        <v>0</v>
      </c>
    </row>
    <row r="113" s="34" customFormat="1" spans="1:15">
      <c r="A113" s="11">
        <f>'[2]2026年度男装数据汇总分析--俄罗斯'!A113</f>
        <v>0</v>
      </c>
      <c r="B113" s="1" t="str">
        <f>'[2]2026年度男装数据汇总分析--俄罗斯'!B113</f>
        <v>GMV完成</v>
      </c>
      <c r="C113" s="1">
        <f>'[2]2026年度男装数据汇总分析--俄罗斯'!C113</f>
        <v>0</v>
      </c>
      <c r="D113" s="1">
        <f>'[2]2026年度男装数据汇总分析--俄罗斯'!D113</f>
        <v>0</v>
      </c>
      <c r="E113" s="1">
        <f>'[2]2026年度男装数据汇总分析--俄罗斯'!E113</f>
        <v>0</v>
      </c>
      <c r="F113" s="1">
        <f>'[2]2026年度男装数据汇总分析--俄罗斯'!F113</f>
        <v>0</v>
      </c>
      <c r="G113" s="1">
        <f>'[2]2026年度男装数据汇总分析--俄罗斯'!G113</f>
        <v>0</v>
      </c>
      <c r="H113" s="1">
        <f>'[2]2026年度男装数据汇总分析--俄罗斯'!H113</f>
        <v>0</v>
      </c>
      <c r="I113" s="1">
        <f>'[2]2026年度男装数据汇总分析--俄罗斯'!I113</f>
        <v>0</v>
      </c>
      <c r="J113" s="1">
        <f>'[2]2026年度男装数据汇总分析--俄罗斯'!J113</f>
        <v>0</v>
      </c>
      <c r="K113" s="1">
        <f>'[2]2026年度男装数据汇总分析--俄罗斯'!K113</f>
        <v>0</v>
      </c>
      <c r="L113" s="1">
        <f>'[2]2026年度男装数据汇总分析--俄罗斯'!L113</f>
        <v>0</v>
      </c>
      <c r="M113" s="1">
        <f>'[2]2026年度男装数据汇总分析--俄罗斯'!M113</f>
        <v>0</v>
      </c>
      <c r="N113" s="1">
        <f>'[2]2026年度男装数据汇总分析--俄罗斯'!N113</f>
        <v>0</v>
      </c>
      <c r="O113" s="1">
        <f>'[2]2026年度男装数据汇总分析--俄罗斯'!O113</f>
        <v>0</v>
      </c>
    </row>
    <row r="114" s="34" customFormat="1" spans="1:15">
      <c r="A114" s="11">
        <f>'[2]2026年度男装数据汇总分析--俄罗斯'!A114</f>
        <v>0</v>
      </c>
      <c r="B114" s="1" t="str">
        <f>'[2]2026年度男装数据汇总分析--俄罗斯'!B114</f>
        <v>GSV完成</v>
      </c>
      <c r="C114" s="1">
        <f>'[2]2026年度男装数据汇总分析--俄罗斯'!C114</f>
        <v>0</v>
      </c>
      <c r="D114" s="1">
        <f>'[2]2026年度男装数据汇总分析--俄罗斯'!D114</f>
        <v>0</v>
      </c>
      <c r="E114" s="1">
        <f>'[2]2026年度男装数据汇总分析--俄罗斯'!E114</f>
        <v>0</v>
      </c>
      <c r="F114" s="1">
        <f>'[2]2026年度男装数据汇总分析--俄罗斯'!F114</f>
        <v>0</v>
      </c>
      <c r="G114" s="1">
        <f>'[2]2026年度男装数据汇总分析--俄罗斯'!G114</f>
        <v>0</v>
      </c>
      <c r="H114" s="1">
        <f>'[2]2026年度男装数据汇总分析--俄罗斯'!H114</f>
        <v>0</v>
      </c>
      <c r="I114" s="1">
        <f>'[2]2026年度男装数据汇总分析--俄罗斯'!I114</f>
        <v>0</v>
      </c>
      <c r="J114" s="1">
        <f>'[2]2026年度男装数据汇总分析--俄罗斯'!J114</f>
        <v>0</v>
      </c>
      <c r="K114" s="1">
        <f>'[2]2026年度男装数据汇总分析--俄罗斯'!K114</f>
        <v>0</v>
      </c>
      <c r="L114" s="1">
        <f>'[2]2026年度男装数据汇总分析--俄罗斯'!L114</f>
        <v>0</v>
      </c>
      <c r="M114" s="1">
        <f>'[2]2026年度男装数据汇总分析--俄罗斯'!M114</f>
        <v>0</v>
      </c>
      <c r="N114" s="1">
        <f>'[2]2026年度男装数据汇总分析--俄罗斯'!N114</f>
        <v>0</v>
      </c>
      <c r="O114" s="1">
        <f>'[2]2026年度男装数据汇总分析--俄罗斯'!O114</f>
        <v>0</v>
      </c>
    </row>
    <row r="115" s="34" customFormat="1" spans="1:15">
      <c r="A115" s="11">
        <f>'[2]2026年度男装数据汇总分析--俄罗斯'!A115</f>
        <v>0</v>
      </c>
      <c r="B115" s="1" t="str">
        <f>'[2]2026年度男装数据汇总分析--俄罗斯'!B115</f>
        <v>退款率</v>
      </c>
      <c r="C115" s="5" t="e">
        <f>'[2]2026年度男装数据汇总分析--俄罗斯'!C115</f>
        <v>#DIV/0!</v>
      </c>
      <c r="D115" s="5" t="e">
        <f>'[2]2026年度男装数据汇总分析--俄罗斯'!D115</f>
        <v>#DIV/0!</v>
      </c>
      <c r="E115" s="5" t="e">
        <f>'[2]2026年度男装数据汇总分析--俄罗斯'!E115</f>
        <v>#DIV/0!</v>
      </c>
      <c r="F115" s="5" t="e">
        <f>'[2]2026年度男装数据汇总分析--俄罗斯'!F115</f>
        <v>#DIV/0!</v>
      </c>
      <c r="G115" s="5" t="e">
        <f>'[2]2026年度男装数据汇总分析--俄罗斯'!G115</f>
        <v>#DIV/0!</v>
      </c>
      <c r="H115" s="5" t="e">
        <f>'[2]2026年度男装数据汇总分析--俄罗斯'!H115</f>
        <v>#DIV/0!</v>
      </c>
      <c r="I115" s="5" t="e">
        <f>'[2]2026年度男装数据汇总分析--俄罗斯'!I115</f>
        <v>#DIV/0!</v>
      </c>
      <c r="J115" s="5" t="e">
        <f>'[2]2026年度男装数据汇总分析--俄罗斯'!J115</f>
        <v>#DIV/0!</v>
      </c>
      <c r="K115" s="5" t="e">
        <f>'[2]2026年度男装数据汇总分析--俄罗斯'!K115</f>
        <v>#DIV/0!</v>
      </c>
      <c r="L115" s="5" t="e">
        <f>'[2]2026年度男装数据汇总分析--俄罗斯'!L115</f>
        <v>#DIV/0!</v>
      </c>
      <c r="M115" s="5" t="e">
        <f>'[2]2026年度男装数据汇总分析--俄罗斯'!M115</f>
        <v>#DIV/0!</v>
      </c>
      <c r="N115" s="5" t="e">
        <f>'[2]2026年度男装数据汇总分析--俄罗斯'!N115</f>
        <v>#DIV/0!</v>
      </c>
      <c r="O115" s="5" t="e">
        <f>'[2]2026年度男装数据汇总分析--俄罗斯'!O115</f>
        <v>#DIV/0!</v>
      </c>
    </row>
    <row r="116" s="34" customFormat="1" spans="1:15">
      <c r="A116" s="11">
        <f>'[2]2026年度男装数据汇总分析--俄罗斯'!A116</f>
        <v>0</v>
      </c>
      <c r="B116" s="1" t="str">
        <f>'[2]2026年度男装数据汇总分析--俄罗斯'!B116</f>
        <v>退货率</v>
      </c>
      <c r="C116" s="5" t="e">
        <f>'[2]2026年度男装数据汇总分析--俄罗斯'!C116</f>
        <v>#DIV/0!</v>
      </c>
      <c r="D116" s="5" t="e">
        <f>'[2]2026年度男装数据汇总分析--俄罗斯'!D116</f>
        <v>#DIV/0!</v>
      </c>
      <c r="E116" s="5" t="e">
        <f>'[2]2026年度男装数据汇总分析--俄罗斯'!E116</f>
        <v>#DIV/0!</v>
      </c>
      <c r="F116" s="5" t="e">
        <f>'[2]2026年度男装数据汇总分析--俄罗斯'!F116</f>
        <v>#DIV/0!</v>
      </c>
      <c r="G116" s="5" t="e">
        <f>'[2]2026年度男装数据汇总分析--俄罗斯'!G116</f>
        <v>#DIV/0!</v>
      </c>
      <c r="H116" s="5" t="e">
        <f>'[2]2026年度男装数据汇总分析--俄罗斯'!H116</f>
        <v>#DIV/0!</v>
      </c>
      <c r="I116" s="5" t="e">
        <f>'[2]2026年度男装数据汇总分析--俄罗斯'!I116</f>
        <v>#DIV/0!</v>
      </c>
      <c r="J116" s="5" t="e">
        <f>'[2]2026年度男装数据汇总分析--俄罗斯'!J116</f>
        <v>#DIV/0!</v>
      </c>
      <c r="K116" s="5" t="e">
        <f>'[2]2026年度男装数据汇总分析--俄罗斯'!K116</f>
        <v>#DIV/0!</v>
      </c>
      <c r="L116" s="5" t="e">
        <f>'[2]2026年度男装数据汇总分析--俄罗斯'!L116</f>
        <v>#DIV/0!</v>
      </c>
      <c r="M116" s="5" t="e">
        <f>'[2]2026年度男装数据汇总分析--俄罗斯'!M116</f>
        <v>#DIV/0!</v>
      </c>
      <c r="N116" s="5" t="e">
        <f>'[2]2026年度男装数据汇总分析--俄罗斯'!N116</f>
        <v>#DIV/0!</v>
      </c>
      <c r="O116" s="5" t="e">
        <f>'[2]2026年度男装数据汇总分析--俄罗斯'!O116</f>
        <v>#DIV/0!</v>
      </c>
    </row>
    <row r="117" s="34" customFormat="1" spans="1:15">
      <c r="A117" s="24">
        <f>'[2]2026年度男装数据汇总分析--俄罗斯'!A117</f>
        <v>0</v>
      </c>
      <c r="B117" s="1" t="str">
        <f>'[2]2026年度男装数据汇总分析--俄罗斯'!B117</f>
        <v>利润率</v>
      </c>
      <c r="C117" s="5" t="e">
        <f>'[2]2026年度男装数据汇总分析--俄罗斯'!C117</f>
        <v>#DIV/0!</v>
      </c>
      <c r="D117" s="5" t="e">
        <f>'[2]2026年度男装数据汇总分析--俄罗斯'!D117</f>
        <v>#DIV/0!</v>
      </c>
      <c r="E117" s="5" t="e">
        <f>'[2]2026年度男装数据汇总分析--俄罗斯'!E117</f>
        <v>#DIV/0!</v>
      </c>
      <c r="F117" s="5" t="e">
        <f>'[2]2026年度男装数据汇总分析--俄罗斯'!F117</f>
        <v>#DIV/0!</v>
      </c>
      <c r="G117" s="5" t="e">
        <f>'[2]2026年度男装数据汇总分析--俄罗斯'!G117</f>
        <v>#DIV/0!</v>
      </c>
      <c r="H117" s="5" t="e">
        <f>'[2]2026年度男装数据汇总分析--俄罗斯'!H117</f>
        <v>#DIV/0!</v>
      </c>
      <c r="I117" s="5" t="e">
        <f>'[2]2026年度男装数据汇总分析--俄罗斯'!I117</f>
        <v>#DIV/0!</v>
      </c>
      <c r="J117" s="5" t="e">
        <f>'[2]2026年度男装数据汇总分析--俄罗斯'!J117</f>
        <v>#DIV/0!</v>
      </c>
      <c r="K117" s="5" t="e">
        <f>'[2]2026年度男装数据汇总分析--俄罗斯'!K117</f>
        <v>#DIV/0!</v>
      </c>
      <c r="L117" s="5" t="e">
        <f>'[2]2026年度男装数据汇总分析--俄罗斯'!L117</f>
        <v>#DIV/0!</v>
      </c>
      <c r="M117" s="5" t="e">
        <f>'[2]2026年度男装数据汇总分析--俄罗斯'!M117</f>
        <v>#DIV/0!</v>
      </c>
      <c r="N117" s="5" t="e">
        <f>'[2]2026年度男装数据汇总分析--俄罗斯'!N117</f>
        <v>#DIV/0!</v>
      </c>
      <c r="O117" s="5" t="e">
        <f>'[2]2026年度男装数据汇总分析--俄罗斯'!O117</f>
        <v>#DIV/0!</v>
      </c>
    </row>
    <row r="118" s="34" customFormat="1" spans="1:15">
      <c r="A118" s="1" t="str">
        <f>'[2]2026年度男装数据汇总分析--俄罗斯'!A118</f>
        <v>核心三款</v>
      </c>
      <c r="B118" s="36" t="str">
        <f>'[2]2026年度男装数据汇总分析--俄罗斯'!B118</f>
        <v>实际利润（人民币）</v>
      </c>
      <c r="C118" s="1" t="e">
        <f>'[2]2026年度男装数据汇总分析--俄罗斯'!C118</f>
        <v>#REF!</v>
      </c>
      <c r="D118" s="1">
        <f>'[2]2026年度男装数据汇总分析--俄罗斯'!D118</f>
        <v>0</v>
      </c>
      <c r="E118" s="1" t="e">
        <f>'[2]2026年度男装数据汇总分析--俄罗斯'!E118</f>
        <v>#REF!</v>
      </c>
      <c r="F118" s="1" t="e">
        <f>'[2]2026年度男装数据汇总分析--俄罗斯'!F118</f>
        <v>#REF!</v>
      </c>
      <c r="G118" s="1" t="e">
        <f>'[2]2026年度男装数据汇总分析--俄罗斯'!G118</f>
        <v>#REF!</v>
      </c>
      <c r="H118" s="1" t="e">
        <f>'[2]2026年度男装数据汇总分析--俄罗斯'!H118</f>
        <v>#REF!</v>
      </c>
      <c r="I118" s="1" t="e">
        <f>'[2]2026年度男装数据汇总分析--俄罗斯'!I118</f>
        <v>#REF!</v>
      </c>
      <c r="J118" s="1" t="e">
        <f>'[2]2026年度男装数据汇总分析--俄罗斯'!J118</f>
        <v>#REF!</v>
      </c>
      <c r="K118" s="1" t="e">
        <f>'[2]2026年度男装数据汇总分析--俄罗斯'!K118</f>
        <v>#REF!</v>
      </c>
      <c r="L118" s="1" t="e">
        <f>'[2]2026年度男装数据汇总分析--俄罗斯'!L118</f>
        <v>#REF!</v>
      </c>
      <c r="M118" s="1" t="e">
        <f>'[2]2026年度男装数据汇总分析--俄罗斯'!M118</f>
        <v>#REF!</v>
      </c>
      <c r="N118" s="1" t="e">
        <f>'[2]2026年度男装数据汇总分析--俄罗斯'!N118</f>
        <v>#REF!</v>
      </c>
      <c r="O118" s="1" t="e">
        <f>'[2]2026年度男装数据汇总分析--俄罗斯'!O118</f>
        <v>#REF!</v>
      </c>
    </row>
    <row r="119" s="34" customFormat="1" spans="1:15">
      <c r="A119" s="1">
        <f>'[2]2026年度男装数据汇总分析--俄罗斯'!A119</f>
        <v>0</v>
      </c>
      <c r="B119" s="36" t="str">
        <f>'[2]2026年度男装数据汇总分析--俄罗斯'!B119</f>
        <v>销量完成</v>
      </c>
      <c r="C119" s="1" t="e">
        <f>'[2]2026年度男装数据汇总分析--俄罗斯'!C119</f>
        <v>#REF!</v>
      </c>
      <c r="D119" s="1">
        <f>'[2]2026年度男装数据汇总分析--俄罗斯'!D119</f>
        <v>0</v>
      </c>
      <c r="E119" s="1" t="e">
        <f>'[2]2026年度男装数据汇总分析--俄罗斯'!E119</f>
        <v>#REF!</v>
      </c>
      <c r="F119" s="1" t="e">
        <f>'[2]2026年度男装数据汇总分析--俄罗斯'!F119</f>
        <v>#REF!</v>
      </c>
      <c r="G119" s="1" t="e">
        <f>'[2]2026年度男装数据汇总分析--俄罗斯'!G119</f>
        <v>#REF!</v>
      </c>
      <c r="H119" s="1" t="e">
        <f>'[2]2026年度男装数据汇总分析--俄罗斯'!H119</f>
        <v>#REF!</v>
      </c>
      <c r="I119" s="1" t="e">
        <f>'[2]2026年度男装数据汇总分析--俄罗斯'!I119</f>
        <v>#REF!</v>
      </c>
      <c r="J119" s="1" t="e">
        <f>'[2]2026年度男装数据汇总分析--俄罗斯'!J119</f>
        <v>#REF!</v>
      </c>
      <c r="K119" s="1" t="e">
        <f>'[2]2026年度男装数据汇总分析--俄罗斯'!K119</f>
        <v>#REF!</v>
      </c>
      <c r="L119" s="1" t="e">
        <f>'[2]2026年度男装数据汇总分析--俄罗斯'!L119</f>
        <v>#REF!</v>
      </c>
      <c r="M119" s="1" t="e">
        <f>'[2]2026年度男装数据汇总分析--俄罗斯'!M119</f>
        <v>#REF!</v>
      </c>
      <c r="N119" s="1" t="e">
        <f>'[2]2026年度男装数据汇总分析--俄罗斯'!N119</f>
        <v>#REF!</v>
      </c>
      <c r="O119" s="1" t="e">
        <f>'[2]2026年度男装数据汇总分析--俄罗斯'!O119</f>
        <v>#REF!</v>
      </c>
    </row>
    <row r="120" s="34" customFormat="1" spans="1:15">
      <c r="A120" s="1">
        <f>'[2]2026年度男装数据汇总分析--俄罗斯'!A120</f>
        <v>0</v>
      </c>
      <c r="B120" s="36" t="str">
        <f>'[2]2026年度男装数据汇总分析--俄罗斯'!B120</f>
        <v>实销完成</v>
      </c>
      <c r="C120" s="1" t="e">
        <f>'[2]2026年度男装数据汇总分析--俄罗斯'!C120</f>
        <v>#REF!</v>
      </c>
      <c r="D120" s="1">
        <f>'[2]2026年度男装数据汇总分析--俄罗斯'!D120</f>
        <v>0</v>
      </c>
      <c r="E120" s="1" t="e">
        <f>'[2]2026年度男装数据汇总分析--俄罗斯'!E120</f>
        <v>#REF!</v>
      </c>
      <c r="F120" s="1" t="e">
        <f>'[2]2026年度男装数据汇总分析--俄罗斯'!F120</f>
        <v>#REF!</v>
      </c>
      <c r="G120" s="1" t="e">
        <f>'[2]2026年度男装数据汇总分析--俄罗斯'!G120</f>
        <v>#REF!</v>
      </c>
      <c r="H120" s="1" t="e">
        <f>'[2]2026年度男装数据汇总分析--俄罗斯'!H120</f>
        <v>#REF!</v>
      </c>
      <c r="I120" s="1" t="e">
        <f>'[2]2026年度男装数据汇总分析--俄罗斯'!I120</f>
        <v>#REF!</v>
      </c>
      <c r="J120" s="1" t="e">
        <f>'[2]2026年度男装数据汇总分析--俄罗斯'!J120</f>
        <v>#REF!</v>
      </c>
      <c r="K120" s="1" t="e">
        <f>'[2]2026年度男装数据汇总分析--俄罗斯'!K120</f>
        <v>#REF!</v>
      </c>
      <c r="L120" s="1" t="e">
        <f>'[2]2026年度男装数据汇总分析--俄罗斯'!L120</f>
        <v>#REF!</v>
      </c>
      <c r="M120" s="1" t="e">
        <f>'[2]2026年度男装数据汇总分析--俄罗斯'!M120</f>
        <v>#REF!</v>
      </c>
      <c r="N120" s="1" t="e">
        <f>'[2]2026年度男装数据汇总分析--俄罗斯'!N120</f>
        <v>#REF!</v>
      </c>
      <c r="O120" s="1" t="e">
        <f>'[2]2026年度男装数据汇总分析--俄罗斯'!O120</f>
        <v>#REF!</v>
      </c>
    </row>
    <row r="121" s="34" customFormat="1" spans="1:15">
      <c r="A121" s="1">
        <f>'[2]2026年度男装数据汇总分析--俄罗斯'!A121</f>
        <v>0</v>
      </c>
      <c r="B121" s="36" t="str">
        <f>'[2]2026年度男装数据汇总分析--俄罗斯'!B121</f>
        <v>GMV完成</v>
      </c>
      <c r="C121" s="1" t="e">
        <f>'[2]2026年度男装数据汇总分析--俄罗斯'!C121</f>
        <v>#REF!</v>
      </c>
      <c r="D121" s="1">
        <f>'[2]2026年度男装数据汇总分析--俄罗斯'!D121</f>
        <v>0</v>
      </c>
      <c r="E121" s="1" t="e">
        <f>'[2]2026年度男装数据汇总分析--俄罗斯'!E121</f>
        <v>#REF!</v>
      </c>
      <c r="F121" s="1" t="e">
        <f>'[2]2026年度男装数据汇总分析--俄罗斯'!F121</f>
        <v>#REF!</v>
      </c>
      <c r="G121" s="1" t="e">
        <f>'[2]2026年度男装数据汇总分析--俄罗斯'!G121</f>
        <v>#REF!</v>
      </c>
      <c r="H121" s="1" t="e">
        <f>'[2]2026年度男装数据汇总分析--俄罗斯'!H121</f>
        <v>#REF!</v>
      </c>
      <c r="I121" s="1" t="e">
        <f>'[2]2026年度男装数据汇总分析--俄罗斯'!I121</f>
        <v>#REF!</v>
      </c>
      <c r="J121" s="1" t="e">
        <f>'[2]2026年度男装数据汇总分析--俄罗斯'!J121</f>
        <v>#REF!</v>
      </c>
      <c r="K121" s="1" t="e">
        <f>'[2]2026年度男装数据汇总分析--俄罗斯'!K121</f>
        <v>#REF!</v>
      </c>
      <c r="L121" s="1" t="e">
        <f>'[2]2026年度男装数据汇总分析--俄罗斯'!L121</f>
        <v>#REF!</v>
      </c>
      <c r="M121" s="1" t="e">
        <f>'[2]2026年度男装数据汇总分析--俄罗斯'!M121</f>
        <v>#REF!</v>
      </c>
      <c r="N121" s="1" t="e">
        <f>'[2]2026年度男装数据汇总分析--俄罗斯'!N121</f>
        <v>#REF!</v>
      </c>
      <c r="O121" s="1" t="e">
        <f>'[2]2026年度男装数据汇总分析--俄罗斯'!O121</f>
        <v>#REF!</v>
      </c>
    </row>
    <row r="122" s="34" customFormat="1" spans="1:15">
      <c r="A122" s="1">
        <f>'[2]2026年度男装数据汇总分析--俄罗斯'!A122</f>
        <v>0</v>
      </c>
      <c r="B122" s="36" t="str">
        <f>'[2]2026年度男装数据汇总分析--俄罗斯'!B122</f>
        <v>GSV完成</v>
      </c>
      <c r="C122" s="1" t="e">
        <f>'[2]2026年度男装数据汇总分析--俄罗斯'!C122</f>
        <v>#REF!</v>
      </c>
      <c r="D122" s="1">
        <f>'[2]2026年度男装数据汇总分析--俄罗斯'!D122</f>
        <v>0</v>
      </c>
      <c r="E122" s="1" t="e">
        <f>'[2]2026年度男装数据汇总分析--俄罗斯'!E122</f>
        <v>#REF!</v>
      </c>
      <c r="F122" s="1" t="e">
        <f>'[2]2026年度男装数据汇总分析--俄罗斯'!F122</f>
        <v>#REF!</v>
      </c>
      <c r="G122" s="1" t="e">
        <f>'[2]2026年度男装数据汇总分析--俄罗斯'!G122</f>
        <v>#REF!</v>
      </c>
      <c r="H122" s="1" t="e">
        <f>'[2]2026年度男装数据汇总分析--俄罗斯'!H122</f>
        <v>#REF!</v>
      </c>
      <c r="I122" s="1" t="e">
        <f>'[2]2026年度男装数据汇总分析--俄罗斯'!I122</f>
        <v>#REF!</v>
      </c>
      <c r="J122" s="1" t="e">
        <f>'[2]2026年度男装数据汇总分析--俄罗斯'!J122</f>
        <v>#REF!</v>
      </c>
      <c r="K122" s="1" t="e">
        <f>'[2]2026年度男装数据汇总分析--俄罗斯'!K122</f>
        <v>#REF!</v>
      </c>
      <c r="L122" s="1" t="e">
        <f>'[2]2026年度男装数据汇总分析--俄罗斯'!L122</f>
        <v>#REF!</v>
      </c>
      <c r="M122" s="1" t="e">
        <f>'[2]2026年度男装数据汇总分析--俄罗斯'!M122</f>
        <v>#REF!</v>
      </c>
      <c r="N122" s="1" t="e">
        <f>'[2]2026年度男装数据汇总分析--俄罗斯'!N122</f>
        <v>#REF!</v>
      </c>
      <c r="O122" s="1" t="e">
        <f>'[2]2026年度男装数据汇总分析--俄罗斯'!O122</f>
        <v>#REF!</v>
      </c>
    </row>
    <row r="123" s="34" customFormat="1" spans="1:15">
      <c r="A123" s="1">
        <f>'[2]2026年度男装数据汇总分析--俄罗斯'!A123</f>
        <v>0</v>
      </c>
      <c r="B123" s="36" t="str">
        <f>'[2]2026年度男装数据汇总分析--俄罗斯'!B123</f>
        <v>退款率</v>
      </c>
      <c r="C123" s="5" t="e">
        <f>'[2]2026年度男装数据汇总分析--俄罗斯'!C123</f>
        <v>#REF!</v>
      </c>
      <c r="D123" s="5" t="e">
        <f>'[2]2026年度男装数据汇总分析--俄罗斯'!D123</f>
        <v>#DIV/0!</v>
      </c>
      <c r="E123" s="5" t="e">
        <f>'[2]2026年度男装数据汇总分析--俄罗斯'!E123</f>
        <v>#REF!</v>
      </c>
      <c r="F123" s="5" t="e">
        <f>'[2]2026年度男装数据汇总分析--俄罗斯'!F123</f>
        <v>#REF!</v>
      </c>
      <c r="G123" s="5" t="e">
        <f>'[2]2026年度男装数据汇总分析--俄罗斯'!G123</f>
        <v>#REF!</v>
      </c>
      <c r="H123" s="5" t="e">
        <f>'[2]2026年度男装数据汇总分析--俄罗斯'!H123</f>
        <v>#REF!</v>
      </c>
      <c r="I123" s="5" t="e">
        <f>'[2]2026年度男装数据汇总分析--俄罗斯'!I123</f>
        <v>#REF!</v>
      </c>
      <c r="J123" s="5" t="e">
        <f>'[2]2026年度男装数据汇总分析--俄罗斯'!J123</f>
        <v>#REF!</v>
      </c>
      <c r="K123" s="5" t="e">
        <f>'[2]2026年度男装数据汇总分析--俄罗斯'!K123</f>
        <v>#REF!</v>
      </c>
      <c r="L123" s="5" t="e">
        <f>'[2]2026年度男装数据汇总分析--俄罗斯'!L123</f>
        <v>#REF!</v>
      </c>
      <c r="M123" s="5" t="e">
        <f>'[2]2026年度男装数据汇总分析--俄罗斯'!M123</f>
        <v>#REF!</v>
      </c>
      <c r="N123" s="5" t="e">
        <f>'[2]2026年度男装数据汇总分析--俄罗斯'!N123</f>
        <v>#REF!</v>
      </c>
      <c r="O123" s="5" t="e">
        <f>'[2]2026年度男装数据汇总分析--俄罗斯'!O123</f>
        <v>#REF!</v>
      </c>
    </row>
    <row r="124" s="34" customFormat="1" spans="1:15">
      <c r="A124" s="1">
        <f>'[2]2026年度男装数据汇总分析--俄罗斯'!A124</f>
        <v>0</v>
      </c>
      <c r="B124" s="36" t="str">
        <f>'[2]2026年度男装数据汇总分析--俄罗斯'!B124</f>
        <v>退货率</v>
      </c>
      <c r="C124" s="5" t="e">
        <f>'[2]2026年度男装数据汇总分析--俄罗斯'!C124</f>
        <v>#REF!</v>
      </c>
      <c r="D124" s="5" t="e">
        <f>'[2]2026年度男装数据汇总分析--俄罗斯'!D124</f>
        <v>#DIV/0!</v>
      </c>
      <c r="E124" s="5" t="e">
        <f>'[2]2026年度男装数据汇总分析--俄罗斯'!E124</f>
        <v>#REF!</v>
      </c>
      <c r="F124" s="5" t="e">
        <f>'[2]2026年度男装数据汇总分析--俄罗斯'!F124</f>
        <v>#REF!</v>
      </c>
      <c r="G124" s="5" t="e">
        <f>'[2]2026年度男装数据汇总分析--俄罗斯'!G124</f>
        <v>#REF!</v>
      </c>
      <c r="H124" s="5" t="e">
        <f>'[2]2026年度男装数据汇总分析--俄罗斯'!H124</f>
        <v>#REF!</v>
      </c>
      <c r="I124" s="5" t="e">
        <f>'[2]2026年度男装数据汇总分析--俄罗斯'!I124</f>
        <v>#REF!</v>
      </c>
      <c r="J124" s="5" t="e">
        <f>'[2]2026年度男装数据汇总分析--俄罗斯'!J124</f>
        <v>#REF!</v>
      </c>
      <c r="K124" s="5" t="e">
        <f>'[2]2026年度男装数据汇总分析--俄罗斯'!K124</f>
        <v>#REF!</v>
      </c>
      <c r="L124" s="5" t="e">
        <f>'[2]2026年度男装数据汇总分析--俄罗斯'!L124</f>
        <v>#REF!</v>
      </c>
      <c r="M124" s="5" t="e">
        <f>'[2]2026年度男装数据汇总分析--俄罗斯'!M124</f>
        <v>#REF!</v>
      </c>
      <c r="N124" s="5" t="e">
        <f>'[2]2026年度男装数据汇总分析--俄罗斯'!N124</f>
        <v>#REF!</v>
      </c>
      <c r="O124" s="5" t="e">
        <f>'[2]2026年度男装数据汇总分析--俄罗斯'!O124</f>
        <v>#REF!</v>
      </c>
    </row>
    <row r="125" s="34" customFormat="1" spans="1:15">
      <c r="A125" s="1">
        <f>'[2]2026年度男装数据汇总分析--俄罗斯'!A125</f>
        <v>0</v>
      </c>
      <c r="B125" s="36" t="str">
        <f>'[2]2026年度男装数据汇总分析--俄罗斯'!B125</f>
        <v>利润率</v>
      </c>
      <c r="C125" s="5" t="e">
        <f>'[2]2026年度男装数据汇总分析--俄罗斯'!C125</f>
        <v>#REF!</v>
      </c>
      <c r="D125" s="5" t="e">
        <f>'[2]2026年度男装数据汇总分析--俄罗斯'!D125</f>
        <v>#DIV/0!</v>
      </c>
      <c r="E125" s="5" t="e">
        <f>'[2]2026年度男装数据汇总分析--俄罗斯'!E125</f>
        <v>#REF!</v>
      </c>
      <c r="F125" s="5" t="e">
        <f>'[2]2026年度男装数据汇总分析--俄罗斯'!F125</f>
        <v>#REF!</v>
      </c>
      <c r="G125" s="5" t="e">
        <f>'[2]2026年度男装数据汇总分析--俄罗斯'!G125</f>
        <v>#REF!</v>
      </c>
      <c r="H125" s="5" t="e">
        <f>'[2]2026年度男装数据汇总分析--俄罗斯'!H125</f>
        <v>#REF!</v>
      </c>
      <c r="I125" s="5" t="e">
        <f>'[2]2026年度男装数据汇总分析--俄罗斯'!I125</f>
        <v>#REF!</v>
      </c>
      <c r="J125" s="5" t="e">
        <f>'[2]2026年度男装数据汇总分析--俄罗斯'!J125</f>
        <v>#REF!</v>
      </c>
      <c r="K125" s="5" t="e">
        <f>'[2]2026年度男装数据汇总分析--俄罗斯'!K125</f>
        <v>#REF!</v>
      </c>
      <c r="L125" s="5" t="e">
        <f>'[2]2026年度男装数据汇总分析--俄罗斯'!L125</f>
        <v>#REF!</v>
      </c>
      <c r="M125" s="5" t="e">
        <f>'[2]2026年度男装数据汇总分析--俄罗斯'!M125</f>
        <v>#REF!</v>
      </c>
      <c r="N125" s="5" t="e">
        <f>'[2]2026年度男装数据汇总分析--俄罗斯'!N125</f>
        <v>#REF!</v>
      </c>
      <c r="O125" s="5" t="e">
        <f>'[2]2026年度男装数据汇总分析--俄罗斯'!O125</f>
        <v>#REF!</v>
      </c>
    </row>
    <row r="126" spans="1:15">
      <c r="A126" s="34">
        <f>'[2]2026年度男装数据汇总分析--俄罗斯'!A126</f>
        <v>0</v>
      </c>
      <c r="B126" s="34">
        <f>'[2]2026年度男装数据汇总分析--俄罗斯'!B126</f>
        <v>0</v>
      </c>
      <c r="C126" s="34">
        <f>'[2]2026年度男装数据汇总分析--俄罗斯'!C126</f>
        <v>0</v>
      </c>
      <c r="D126" s="34">
        <f>'[2]2026年度男装数据汇总分析--俄罗斯'!D126</f>
        <v>0</v>
      </c>
      <c r="E126" s="34">
        <f>'[2]2026年度男装数据汇总分析--俄罗斯'!E126</f>
        <v>0</v>
      </c>
      <c r="F126" s="34">
        <f>'[2]2026年度男装数据汇总分析--俄罗斯'!F126</f>
        <v>0</v>
      </c>
      <c r="G126" s="34">
        <f>'[2]2026年度男装数据汇总分析--俄罗斯'!G126</f>
        <v>0</v>
      </c>
      <c r="H126" s="34">
        <f>'[2]2026年度男装数据汇总分析--俄罗斯'!H126</f>
        <v>0</v>
      </c>
      <c r="I126" s="34">
        <f>'[2]2026年度男装数据汇总分析--俄罗斯'!I126</f>
        <v>0</v>
      </c>
      <c r="J126" s="34">
        <f>'[2]2026年度男装数据汇总分析--俄罗斯'!J126</f>
        <v>0</v>
      </c>
      <c r="K126" s="34">
        <f>'[2]2026年度男装数据汇总分析--俄罗斯'!K126</f>
        <v>0</v>
      </c>
      <c r="L126" s="34">
        <f>'[2]2026年度男装数据汇总分析--俄罗斯'!L126</f>
        <v>0</v>
      </c>
      <c r="M126" s="34">
        <f>'[2]2026年度男装数据汇总分析--俄罗斯'!M126</f>
        <v>0</v>
      </c>
      <c r="N126" s="34">
        <f>'[2]2026年度男装数据汇总分析--俄罗斯'!N126</f>
        <v>0</v>
      </c>
      <c r="O126" s="34">
        <f>'[2]2026年度男装数据汇总分析--俄罗斯'!O126</f>
        <v>0</v>
      </c>
    </row>
    <row r="127" spans="1:15">
      <c r="A127" s="34">
        <f>'[2]2026年度男装数据汇总分析--俄罗斯'!A127</f>
        <v>0</v>
      </c>
      <c r="B127" s="34">
        <f>'[2]2026年度男装数据汇总分析--俄罗斯'!B127</f>
        <v>0</v>
      </c>
      <c r="C127" s="34">
        <f>'[2]2026年度男装数据汇总分析--俄罗斯'!C127</f>
        <v>0</v>
      </c>
      <c r="D127" s="34">
        <f>'[2]2026年度男装数据汇总分析--俄罗斯'!D127</f>
        <v>0</v>
      </c>
      <c r="E127" s="34">
        <f>'[2]2026年度男装数据汇总分析--俄罗斯'!E127</f>
        <v>0</v>
      </c>
      <c r="F127" s="34">
        <f>'[2]2026年度男装数据汇总分析--俄罗斯'!F127</f>
        <v>0</v>
      </c>
      <c r="G127" s="34">
        <f>'[2]2026年度男装数据汇总分析--俄罗斯'!G127</f>
        <v>0</v>
      </c>
      <c r="H127" s="34">
        <f>'[2]2026年度男装数据汇总分析--俄罗斯'!H127</f>
        <v>0</v>
      </c>
      <c r="I127" s="34">
        <f>'[2]2026年度男装数据汇总分析--俄罗斯'!I127</f>
        <v>0</v>
      </c>
      <c r="J127" s="34">
        <f>'[2]2026年度男装数据汇总分析--俄罗斯'!J127</f>
        <v>0</v>
      </c>
      <c r="K127" s="34">
        <f>'[2]2026年度男装数据汇总分析--俄罗斯'!K127</f>
        <v>0</v>
      </c>
      <c r="L127" s="34">
        <f>'[2]2026年度男装数据汇总分析--俄罗斯'!L127</f>
        <v>0</v>
      </c>
      <c r="M127" s="34">
        <f>'[2]2026年度男装数据汇总分析--俄罗斯'!M127</f>
        <v>0</v>
      </c>
      <c r="N127" s="34">
        <f>'[2]2026年度男装数据汇总分析--俄罗斯'!N127</f>
        <v>0</v>
      </c>
      <c r="O127" s="34">
        <f>'[2]2026年度男装数据汇总分析--俄罗斯'!O127</f>
        <v>0</v>
      </c>
    </row>
    <row r="128" spans="1:15">
      <c r="A128" s="34">
        <f>'[2]2026年度男装数据汇总分析--俄罗斯'!A128</f>
        <v>0</v>
      </c>
      <c r="B128" s="34">
        <f>'[2]2026年度男装数据汇总分析--俄罗斯'!B128</f>
        <v>0</v>
      </c>
      <c r="C128" s="34">
        <f>'[2]2026年度男装数据汇总分析--俄罗斯'!C128</f>
        <v>0</v>
      </c>
      <c r="D128" s="34">
        <f>'[2]2026年度男装数据汇总分析--俄罗斯'!D128</f>
        <v>0</v>
      </c>
      <c r="E128" s="34">
        <f>'[2]2026年度男装数据汇总分析--俄罗斯'!E128</f>
        <v>0</v>
      </c>
      <c r="F128" s="34">
        <f>'[2]2026年度男装数据汇总分析--俄罗斯'!F128</f>
        <v>0</v>
      </c>
      <c r="G128" s="34">
        <f>'[2]2026年度男装数据汇总分析--俄罗斯'!G128</f>
        <v>0</v>
      </c>
      <c r="H128" s="34">
        <f>'[2]2026年度男装数据汇总分析--俄罗斯'!H128</f>
        <v>0</v>
      </c>
      <c r="I128" s="34">
        <f>'[2]2026年度男装数据汇总分析--俄罗斯'!I128</f>
        <v>0</v>
      </c>
      <c r="J128" s="34">
        <f>'[2]2026年度男装数据汇总分析--俄罗斯'!J128</f>
        <v>0</v>
      </c>
      <c r="K128" s="34">
        <f>'[2]2026年度男装数据汇总分析--俄罗斯'!K128</f>
        <v>0</v>
      </c>
      <c r="L128" s="34">
        <f>'[2]2026年度男装数据汇总分析--俄罗斯'!L128</f>
        <v>0</v>
      </c>
      <c r="M128" s="34">
        <f>'[2]2026年度男装数据汇总分析--俄罗斯'!M128</f>
        <v>0</v>
      </c>
      <c r="N128" s="34">
        <f>'[2]2026年度男装数据汇总分析--俄罗斯'!N128</f>
        <v>0</v>
      </c>
      <c r="O128" s="34">
        <f>'[2]2026年度男装数据汇总分析--俄罗斯'!O128</f>
        <v>0</v>
      </c>
    </row>
    <row r="129" spans="1:15">
      <c r="A129" s="34">
        <f>'[2]2026年度男装数据汇总分析--俄罗斯'!A129</f>
        <v>0</v>
      </c>
      <c r="B129" s="34">
        <f>'[2]2026年度男装数据汇总分析--俄罗斯'!B129</f>
        <v>0</v>
      </c>
      <c r="C129" s="34">
        <f>'[2]2026年度男装数据汇总分析--俄罗斯'!C129</f>
        <v>0</v>
      </c>
      <c r="D129" s="34">
        <f>'[2]2026年度男装数据汇总分析--俄罗斯'!D129</f>
        <v>0</v>
      </c>
      <c r="E129" s="34">
        <f>'[2]2026年度男装数据汇总分析--俄罗斯'!E129</f>
        <v>0</v>
      </c>
      <c r="F129" s="34">
        <f>'[2]2026年度男装数据汇总分析--俄罗斯'!F129</f>
        <v>0</v>
      </c>
      <c r="G129" s="34">
        <f>'[2]2026年度男装数据汇总分析--俄罗斯'!G129</f>
        <v>0</v>
      </c>
      <c r="H129" s="34">
        <f>'[2]2026年度男装数据汇总分析--俄罗斯'!H129</f>
        <v>0</v>
      </c>
      <c r="I129" s="34">
        <f>'[2]2026年度男装数据汇总分析--俄罗斯'!I129</f>
        <v>0</v>
      </c>
      <c r="J129" s="34">
        <f>'[2]2026年度男装数据汇总分析--俄罗斯'!J129</f>
        <v>0</v>
      </c>
      <c r="K129" s="34">
        <f>'[2]2026年度男装数据汇总分析--俄罗斯'!K129</f>
        <v>0</v>
      </c>
      <c r="L129" s="34">
        <f>'[2]2026年度男装数据汇总分析--俄罗斯'!L129</f>
        <v>0</v>
      </c>
      <c r="M129" s="34">
        <f>'[2]2026年度男装数据汇总分析--俄罗斯'!M129</f>
        <v>0</v>
      </c>
      <c r="N129" s="34">
        <f>'[2]2026年度男装数据汇总分析--俄罗斯'!N129</f>
        <v>0</v>
      </c>
      <c r="O129" s="34">
        <f>'[2]2026年度男装数据汇总分析--俄罗斯'!O129</f>
        <v>0</v>
      </c>
    </row>
    <row r="130" spans="1:15">
      <c r="A130" s="34">
        <f>'[2]2026年度男装数据汇总分析--俄罗斯'!A130</f>
        <v>0</v>
      </c>
      <c r="B130" s="34">
        <f>'[2]2026年度男装数据汇总分析--俄罗斯'!B130</f>
        <v>0</v>
      </c>
      <c r="C130" s="34">
        <f>'[2]2026年度男装数据汇总分析--俄罗斯'!C130</f>
        <v>0</v>
      </c>
      <c r="D130" s="34">
        <f>'[2]2026年度男装数据汇总分析--俄罗斯'!D130</f>
        <v>0</v>
      </c>
      <c r="E130" s="34">
        <f>'[2]2026年度男装数据汇总分析--俄罗斯'!E130</f>
        <v>0</v>
      </c>
      <c r="F130" s="34">
        <f>'[2]2026年度男装数据汇总分析--俄罗斯'!F130</f>
        <v>0</v>
      </c>
      <c r="G130" s="34">
        <f>'[2]2026年度男装数据汇总分析--俄罗斯'!G130</f>
        <v>0</v>
      </c>
      <c r="H130" s="34">
        <f>'[2]2026年度男装数据汇总分析--俄罗斯'!H130</f>
        <v>0</v>
      </c>
      <c r="I130" s="34">
        <f>'[2]2026年度男装数据汇总分析--俄罗斯'!I130</f>
        <v>0</v>
      </c>
      <c r="J130" s="34">
        <f>'[2]2026年度男装数据汇总分析--俄罗斯'!J130</f>
        <v>0</v>
      </c>
      <c r="K130" s="34">
        <f>'[2]2026年度男装数据汇总分析--俄罗斯'!K130</f>
        <v>0</v>
      </c>
      <c r="L130" s="34">
        <f>'[2]2026年度男装数据汇总分析--俄罗斯'!L130</f>
        <v>0</v>
      </c>
      <c r="M130" s="34">
        <f>'[2]2026年度男装数据汇总分析--俄罗斯'!M130</f>
        <v>0</v>
      </c>
      <c r="N130" s="34">
        <f>'[2]2026年度男装数据汇总分析--俄罗斯'!N130</f>
        <v>0</v>
      </c>
      <c r="O130" s="34">
        <f>'[2]2026年度男装数据汇总分析--俄罗斯'!O130</f>
        <v>0</v>
      </c>
    </row>
    <row r="131" spans="1:15">
      <c r="A131" s="34">
        <f>'[2]2026年度男装数据汇总分析--俄罗斯'!A131</f>
        <v>0</v>
      </c>
      <c r="B131" s="34">
        <f>'[2]2026年度男装数据汇总分析--俄罗斯'!B131</f>
        <v>0</v>
      </c>
      <c r="C131" s="34">
        <f>'[2]2026年度男装数据汇总分析--俄罗斯'!C131</f>
        <v>0</v>
      </c>
      <c r="D131" s="34">
        <f>'[2]2026年度男装数据汇总分析--俄罗斯'!D131</f>
        <v>0</v>
      </c>
      <c r="E131" s="34">
        <f>'[2]2026年度男装数据汇总分析--俄罗斯'!E131</f>
        <v>0</v>
      </c>
      <c r="F131" s="34">
        <f>'[2]2026年度男装数据汇总分析--俄罗斯'!F131</f>
        <v>0</v>
      </c>
      <c r="G131" s="34">
        <f>'[2]2026年度男装数据汇总分析--俄罗斯'!G131</f>
        <v>0</v>
      </c>
      <c r="H131" s="34">
        <f>'[2]2026年度男装数据汇总分析--俄罗斯'!H131</f>
        <v>0</v>
      </c>
      <c r="I131" s="34">
        <f>'[2]2026年度男装数据汇总分析--俄罗斯'!I131</f>
        <v>0</v>
      </c>
      <c r="J131" s="34">
        <f>'[2]2026年度男装数据汇总分析--俄罗斯'!J131</f>
        <v>0</v>
      </c>
      <c r="K131" s="34">
        <f>'[2]2026年度男装数据汇总分析--俄罗斯'!K131</f>
        <v>0</v>
      </c>
      <c r="L131" s="34">
        <f>'[2]2026年度男装数据汇总分析--俄罗斯'!L131</f>
        <v>0</v>
      </c>
      <c r="M131" s="34">
        <f>'[2]2026年度男装数据汇总分析--俄罗斯'!M131</f>
        <v>0</v>
      </c>
      <c r="N131" s="34">
        <f>'[2]2026年度男装数据汇总分析--俄罗斯'!N131</f>
        <v>0</v>
      </c>
      <c r="O131" s="34">
        <f>'[2]2026年度男装数据汇总分析--俄罗斯'!O131</f>
        <v>0</v>
      </c>
    </row>
    <row r="132" spans="1:15">
      <c r="A132" s="34">
        <f>'[2]2026年度男装数据汇总分析--俄罗斯'!A132</f>
        <v>0</v>
      </c>
      <c r="B132" s="34">
        <f>'[2]2026年度男装数据汇总分析--俄罗斯'!B132</f>
        <v>0</v>
      </c>
      <c r="C132" s="34">
        <f>'[2]2026年度男装数据汇总分析--俄罗斯'!C132</f>
        <v>0</v>
      </c>
      <c r="D132" s="34">
        <f>'[2]2026年度男装数据汇总分析--俄罗斯'!D132</f>
        <v>0</v>
      </c>
      <c r="E132" s="34">
        <f>'[2]2026年度男装数据汇总分析--俄罗斯'!E132</f>
        <v>0</v>
      </c>
      <c r="F132" s="34">
        <f>'[2]2026年度男装数据汇总分析--俄罗斯'!F132</f>
        <v>0</v>
      </c>
      <c r="G132" s="34">
        <f>'[2]2026年度男装数据汇总分析--俄罗斯'!G132</f>
        <v>0</v>
      </c>
      <c r="H132" s="34">
        <f>'[2]2026年度男装数据汇总分析--俄罗斯'!H132</f>
        <v>0</v>
      </c>
      <c r="I132" s="34">
        <f>'[2]2026年度男装数据汇总分析--俄罗斯'!I132</f>
        <v>0</v>
      </c>
      <c r="J132" s="34">
        <f>'[2]2026年度男装数据汇总分析--俄罗斯'!J132</f>
        <v>0</v>
      </c>
      <c r="K132" s="34">
        <f>'[2]2026年度男装数据汇总分析--俄罗斯'!K132</f>
        <v>0</v>
      </c>
      <c r="L132" s="34">
        <f>'[2]2026年度男装数据汇总分析--俄罗斯'!L132</f>
        <v>0</v>
      </c>
      <c r="M132" s="34">
        <f>'[2]2026年度男装数据汇总分析--俄罗斯'!M132</f>
        <v>0</v>
      </c>
      <c r="N132" s="34">
        <f>'[2]2026年度男装数据汇总分析--俄罗斯'!N132</f>
        <v>0</v>
      </c>
      <c r="O132" s="34">
        <f>'[2]2026年度男装数据汇总分析--俄罗斯'!O132</f>
        <v>0</v>
      </c>
    </row>
    <row r="133" spans="1:15">
      <c r="A133" s="34">
        <f>'[2]2026年度男装数据汇总分析--俄罗斯'!A133</f>
        <v>0</v>
      </c>
      <c r="B133" s="34">
        <f>'[2]2026年度男装数据汇总分析--俄罗斯'!B133</f>
        <v>0</v>
      </c>
      <c r="C133" s="34">
        <f>'[2]2026年度男装数据汇总分析--俄罗斯'!C133</f>
        <v>0</v>
      </c>
      <c r="D133" s="34">
        <f>'[2]2026年度男装数据汇总分析--俄罗斯'!D133</f>
        <v>0</v>
      </c>
      <c r="E133" s="34">
        <f>'[2]2026年度男装数据汇总分析--俄罗斯'!E133</f>
        <v>0</v>
      </c>
      <c r="F133" s="34">
        <f>'[2]2026年度男装数据汇总分析--俄罗斯'!F133</f>
        <v>0</v>
      </c>
      <c r="G133" s="34">
        <f>'[2]2026年度男装数据汇总分析--俄罗斯'!G133</f>
        <v>0</v>
      </c>
      <c r="H133" s="34">
        <f>'[2]2026年度男装数据汇总分析--俄罗斯'!H133</f>
        <v>0</v>
      </c>
      <c r="I133" s="34">
        <f>'[2]2026年度男装数据汇总分析--俄罗斯'!I133</f>
        <v>0</v>
      </c>
      <c r="J133" s="34">
        <f>'[2]2026年度男装数据汇总分析--俄罗斯'!J133</f>
        <v>0</v>
      </c>
      <c r="K133" s="34">
        <f>'[2]2026年度男装数据汇总分析--俄罗斯'!K133</f>
        <v>0</v>
      </c>
      <c r="L133" s="34">
        <f>'[2]2026年度男装数据汇总分析--俄罗斯'!L133</f>
        <v>0</v>
      </c>
      <c r="M133" s="34">
        <f>'[2]2026年度男装数据汇总分析--俄罗斯'!M133</f>
        <v>0</v>
      </c>
      <c r="N133" s="34">
        <f>'[2]2026年度男装数据汇总分析--俄罗斯'!N133</f>
        <v>0</v>
      </c>
      <c r="O133" s="34">
        <f>'[2]2026年度男装数据汇总分析--俄罗斯'!O133</f>
        <v>0</v>
      </c>
    </row>
    <row r="134" spans="1:15">
      <c r="A134" s="34">
        <f>'[2]2026年度男装数据汇总分析--俄罗斯'!A134</f>
        <v>0</v>
      </c>
      <c r="B134" s="34">
        <f>'[2]2026年度男装数据汇总分析--俄罗斯'!B134</f>
        <v>0</v>
      </c>
      <c r="C134" s="34">
        <f>'[2]2026年度男装数据汇总分析--俄罗斯'!C134</f>
        <v>0</v>
      </c>
      <c r="D134" s="34">
        <f>'[2]2026年度男装数据汇总分析--俄罗斯'!D134</f>
        <v>0</v>
      </c>
      <c r="E134" s="34">
        <f>'[2]2026年度男装数据汇总分析--俄罗斯'!E134</f>
        <v>0</v>
      </c>
      <c r="F134" s="34">
        <f>'[2]2026年度男装数据汇总分析--俄罗斯'!F134</f>
        <v>0</v>
      </c>
      <c r="G134" s="34">
        <f>'[2]2026年度男装数据汇总分析--俄罗斯'!G134</f>
        <v>0</v>
      </c>
      <c r="H134" s="34">
        <f>'[2]2026年度男装数据汇总分析--俄罗斯'!H134</f>
        <v>0</v>
      </c>
      <c r="I134" s="34">
        <f>'[2]2026年度男装数据汇总分析--俄罗斯'!I134</f>
        <v>0</v>
      </c>
      <c r="J134" s="34">
        <f>'[2]2026年度男装数据汇总分析--俄罗斯'!J134</f>
        <v>0</v>
      </c>
      <c r="K134" s="34">
        <f>'[2]2026年度男装数据汇总分析--俄罗斯'!K134</f>
        <v>0</v>
      </c>
      <c r="L134" s="34">
        <f>'[2]2026年度男装数据汇总分析--俄罗斯'!L134</f>
        <v>0</v>
      </c>
      <c r="M134" s="34">
        <f>'[2]2026年度男装数据汇总分析--俄罗斯'!M134</f>
        <v>0</v>
      </c>
      <c r="N134" s="34">
        <f>'[2]2026年度男装数据汇总分析--俄罗斯'!N134</f>
        <v>0</v>
      </c>
      <c r="O134" s="34">
        <f>'[2]2026年度男装数据汇总分析--俄罗斯'!O134</f>
        <v>0</v>
      </c>
    </row>
    <row r="135" spans="1:15">
      <c r="A135" s="34">
        <f>'[2]2026年度男装数据汇总分析--俄罗斯'!A135</f>
        <v>0</v>
      </c>
      <c r="B135" s="34">
        <f>'[2]2026年度男装数据汇总分析--俄罗斯'!B135</f>
        <v>0</v>
      </c>
      <c r="C135" s="34">
        <f>'[2]2026年度男装数据汇总分析--俄罗斯'!C135</f>
        <v>0</v>
      </c>
      <c r="D135" s="34">
        <f>'[2]2026年度男装数据汇总分析--俄罗斯'!D135</f>
        <v>0</v>
      </c>
      <c r="E135" s="34">
        <f>'[2]2026年度男装数据汇总分析--俄罗斯'!E135</f>
        <v>0</v>
      </c>
      <c r="F135" s="34">
        <f>'[2]2026年度男装数据汇总分析--俄罗斯'!F135</f>
        <v>0</v>
      </c>
      <c r="G135" s="34">
        <f>'[2]2026年度男装数据汇总分析--俄罗斯'!G135</f>
        <v>0</v>
      </c>
      <c r="H135" s="34">
        <f>'[2]2026年度男装数据汇总分析--俄罗斯'!H135</f>
        <v>0</v>
      </c>
      <c r="I135" s="34">
        <f>'[2]2026年度男装数据汇总分析--俄罗斯'!I135</f>
        <v>0</v>
      </c>
      <c r="J135" s="34">
        <f>'[2]2026年度男装数据汇总分析--俄罗斯'!J135</f>
        <v>0</v>
      </c>
      <c r="K135" s="34">
        <f>'[2]2026年度男装数据汇总分析--俄罗斯'!K135</f>
        <v>0</v>
      </c>
      <c r="L135" s="34">
        <f>'[2]2026年度男装数据汇总分析--俄罗斯'!L135</f>
        <v>0</v>
      </c>
      <c r="M135" s="34">
        <f>'[2]2026年度男装数据汇总分析--俄罗斯'!M135</f>
        <v>0</v>
      </c>
      <c r="N135" s="34">
        <f>'[2]2026年度男装数据汇总分析--俄罗斯'!N135</f>
        <v>0</v>
      </c>
      <c r="O135" s="34">
        <f>'[2]2026年度男装数据汇总分析--俄罗斯'!O135</f>
        <v>0</v>
      </c>
    </row>
    <row r="136" spans="1:15">
      <c r="A136" s="34">
        <f>'[2]2026年度男装数据汇总分析--俄罗斯'!A136</f>
        <v>0</v>
      </c>
      <c r="B136" s="34">
        <f>'[2]2026年度男装数据汇总分析--俄罗斯'!B136</f>
        <v>0</v>
      </c>
      <c r="C136" s="34">
        <f>'[2]2026年度男装数据汇总分析--俄罗斯'!C136</f>
        <v>0</v>
      </c>
      <c r="D136" s="34">
        <f>'[2]2026年度男装数据汇总分析--俄罗斯'!D136</f>
        <v>0</v>
      </c>
      <c r="E136" s="34">
        <f>'[2]2026年度男装数据汇总分析--俄罗斯'!E136</f>
        <v>0</v>
      </c>
      <c r="F136" s="34">
        <f>'[2]2026年度男装数据汇总分析--俄罗斯'!F136</f>
        <v>0</v>
      </c>
      <c r="G136" s="34">
        <f>'[2]2026年度男装数据汇总分析--俄罗斯'!G136</f>
        <v>0</v>
      </c>
      <c r="H136" s="34">
        <f>'[2]2026年度男装数据汇总分析--俄罗斯'!H136</f>
        <v>0</v>
      </c>
      <c r="I136" s="34">
        <f>'[2]2026年度男装数据汇总分析--俄罗斯'!I136</f>
        <v>0</v>
      </c>
      <c r="J136" s="34">
        <f>'[2]2026年度男装数据汇总分析--俄罗斯'!J136</f>
        <v>0</v>
      </c>
      <c r="K136" s="34">
        <f>'[2]2026年度男装数据汇总分析--俄罗斯'!K136</f>
        <v>0</v>
      </c>
      <c r="L136" s="34">
        <f>'[2]2026年度男装数据汇总分析--俄罗斯'!L136</f>
        <v>0</v>
      </c>
      <c r="M136" s="34">
        <f>'[2]2026年度男装数据汇总分析--俄罗斯'!M136</f>
        <v>0</v>
      </c>
      <c r="N136" s="34">
        <f>'[2]2026年度男装数据汇总分析--俄罗斯'!N136</f>
        <v>0</v>
      </c>
      <c r="O136" s="34">
        <f>'[2]2026年度男装数据汇总分析--俄罗斯'!O136</f>
        <v>0</v>
      </c>
    </row>
    <row r="137" spans="1:15">
      <c r="A137" s="34">
        <f>'[2]2026年度男装数据汇总分析--俄罗斯'!A137</f>
        <v>0</v>
      </c>
      <c r="B137" s="34">
        <f>'[2]2026年度男装数据汇总分析--俄罗斯'!B137</f>
        <v>0</v>
      </c>
      <c r="C137" s="34">
        <f>'[2]2026年度男装数据汇总分析--俄罗斯'!C137</f>
        <v>0</v>
      </c>
      <c r="D137" s="34">
        <f>'[2]2026年度男装数据汇总分析--俄罗斯'!D137</f>
        <v>0</v>
      </c>
      <c r="E137" s="34">
        <f>'[2]2026年度男装数据汇总分析--俄罗斯'!E137</f>
        <v>0</v>
      </c>
      <c r="F137" s="34">
        <f>'[2]2026年度男装数据汇总分析--俄罗斯'!F137</f>
        <v>0</v>
      </c>
      <c r="G137" s="34">
        <f>'[2]2026年度男装数据汇总分析--俄罗斯'!G137</f>
        <v>0</v>
      </c>
      <c r="H137" s="34">
        <f>'[2]2026年度男装数据汇总分析--俄罗斯'!H137</f>
        <v>0</v>
      </c>
      <c r="I137" s="34">
        <f>'[2]2026年度男装数据汇总分析--俄罗斯'!I137</f>
        <v>0</v>
      </c>
      <c r="J137" s="34">
        <f>'[2]2026年度男装数据汇总分析--俄罗斯'!J137</f>
        <v>0</v>
      </c>
      <c r="K137" s="34">
        <f>'[2]2026年度男装数据汇总分析--俄罗斯'!K137</f>
        <v>0</v>
      </c>
      <c r="L137" s="34">
        <f>'[2]2026年度男装数据汇总分析--俄罗斯'!L137</f>
        <v>0</v>
      </c>
      <c r="M137" s="34">
        <f>'[2]2026年度男装数据汇总分析--俄罗斯'!M137</f>
        <v>0</v>
      </c>
      <c r="N137" s="34">
        <f>'[2]2026年度男装数据汇总分析--俄罗斯'!N137</f>
        <v>0</v>
      </c>
      <c r="O137" s="34">
        <f>'[2]2026年度男装数据汇总分析--俄罗斯'!O137</f>
        <v>0</v>
      </c>
    </row>
    <row r="138" spans="1:15">
      <c r="A138" s="34">
        <f>'[2]2026年度男装数据汇总分析--俄罗斯'!A138</f>
        <v>0</v>
      </c>
      <c r="B138" s="34">
        <f>'[2]2026年度男装数据汇总分析--俄罗斯'!B138</f>
        <v>0</v>
      </c>
      <c r="C138" s="34">
        <f>'[2]2026年度男装数据汇总分析--俄罗斯'!C138</f>
        <v>0</v>
      </c>
      <c r="D138" s="34">
        <f>'[2]2026年度男装数据汇总分析--俄罗斯'!D138</f>
        <v>0</v>
      </c>
      <c r="E138" s="34">
        <f>'[2]2026年度男装数据汇总分析--俄罗斯'!E138</f>
        <v>0</v>
      </c>
      <c r="F138" s="34">
        <f>'[2]2026年度男装数据汇总分析--俄罗斯'!F138</f>
        <v>0</v>
      </c>
      <c r="G138" s="34">
        <f>'[2]2026年度男装数据汇总分析--俄罗斯'!G138</f>
        <v>0</v>
      </c>
      <c r="H138" s="34">
        <f>'[2]2026年度男装数据汇总分析--俄罗斯'!H138</f>
        <v>0</v>
      </c>
      <c r="I138" s="34">
        <f>'[2]2026年度男装数据汇总分析--俄罗斯'!I138</f>
        <v>0</v>
      </c>
      <c r="J138" s="34">
        <f>'[2]2026年度男装数据汇总分析--俄罗斯'!J138</f>
        <v>0</v>
      </c>
      <c r="K138" s="34">
        <f>'[2]2026年度男装数据汇总分析--俄罗斯'!K138</f>
        <v>0</v>
      </c>
      <c r="L138" s="34">
        <f>'[2]2026年度男装数据汇总分析--俄罗斯'!L138</f>
        <v>0</v>
      </c>
      <c r="M138" s="34">
        <f>'[2]2026年度男装数据汇总分析--俄罗斯'!M138</f>
        <v>0</v>
      </c>
      <c r="N138" s="34">
        <f>'[2]2026年度男装数据汇总分析--俄罗斯'!N138</f>
        <v>0</v>
      </c>
      <c r="O138" s="34">
        <f>'[2]2026年度男装数据汇总分析--俄罗斯'!O138</f>
        <v>0</v>
      </c>
    </row>
    <row r="139" spans="1:15">
      <c r="A139" s="34">
        <f>'[2]2026年度男装数据汇总分析--俄罗斯'!A139</f>
        <v>0</v>
      </c>
      <c r="B139" s="34">
        <f>'[2]2026年度男装数据汇总分析--俄罗斯'!B139</f>
        <v>0</v>
      </c>
      <c r="C139" s="34">
        <f>'[2]2026年度男装数据汇总分析--俄罗斯'!C139</f>
        <v>0</v>
      </c>
      <c r="D139" s="34">
        <f>'[2]2026年度男装数据汇总分析--俄罗斯'!D139</f>
        <v>0</v>
      </c>
      <c r="E139" s="34">
        <f>'[2]2026年度男装数据汇总分析--俄罗斯'!E139</f>
        <v>0</v>
      </c>
      <c r="F139" s="34">
        <f>'[2]2026年度男装数据汇总分析--俄罗斯'!F139</f>
        <v>0</v>
      </c>
      <c r="G139" s="34">
        <f>'[2]2026年度男装数据汇总分析--俄罗斯'!G139</f>
        <v>0</v>
      </c>
      <c r="H139" s="34">
        <f>'[2]2026年度男装数据汇总分析--俄罗斯'!H139</f>
        <v>0</v>
      </c>
      <c r="I139" s="34">
        <f>'[2]2026年度男装数据汇总分析--俄罗斯'!I139</f>
        <v>0</v>
      </c>
      <c r="J139" s="34">
        <f>'[2]2026年度男装数据汇总分析--俄罗斯'!J139</f>
        <v>0</v>
      </c>
      <c r="K139" s="34">
        <f>'[2]2026年度男装数据汇总分析--俄罗斯'!K139</f>
        <v>0</v>
      </c>
      <c r="L139" s="34">
        <f>'[2]2026年度男装数据汇总分析--俄罗斯'!L139</f>
        <v>0</v>
      </c>
      <c r="M139" s="34">
        <f>'[2]2026年度男装数据汇总分析--俄罗斯'!M139</f>
        <v>0</v>
      </c>
      <c r="N139" s="34">
        <f>'[2]2026年度男装数据汇总分析--俄罗斯'!N139</f>
        <v>0</v>
      </c>
      <c r="O139" s="34">
        <f>'[2]2026年度男装数据汇总分析--俄罗斯'!O139</f>
        <v>0</v>
      </c>
    </row>
    <row r="140" spans="1:15">
      <c r="A140" s="34">
        <f>'[2]2026年度男装数据汇总分析--俄罗斯'!A140</f>
        <v>0</v>
      </c>
      <c r="B140" s="34">
        <f>'[2]2026年度男装数据汇总分析--俄罗斯'!B140</f>
        <v>0</v>
      </c>
      <c r="C140" s="34">
        <f>'[2]2026年度男装数据汇总分析--俄罗斯'!C140</f>
        <v>0</v>
      </c>
      <c r="D140" s="34">
        <f>'[2]2026年度男装数据汇总分析--俄罗斯'!D140</f>
        <v>0</v>
      </c>
      <c r="E140" s="34">
        <f>'[2]2026年度男装数据汇总分析--俄罗斯'!E140</f>
        <v>0</v>
      </c>
      <c r="F140" s="34">
        <f>'[2]2026年度男装数据汇总分析--俄罗斯'!F140</f>
        <v>0</v>
      </c>
      <c r="G140" s="34">
        <f>'[2]2026年度男装数据汇总分析--俄罗斯'!G140</f>
        <v>0</v>
      </c>
      <c r="H140" s="34">
        <f>'[2]2026年度男装数据汇总分析--俄罗斯'!H140</f>
        <v>0</v>
      </c>
      <c r="I140" s="34">
        <f>'[2]2026年度男装数据汇总分析--俄罗斯'!I140</f>
        <v>0</v>
      </c>
      <c r="J140" s="34">
        <f>'[2]2026年度男装数据汇总分析--俄罗斯'!J140</f>
        <v>0</v>
      </c>
      <c r="K140" s="34">
        <f>'[2]2026年度男装数据汇总分析--俄罗斯'!K140</f>
        <v>0</v>
      </c>
      <c r="L140" s="34">
        <f>'[2]2026年度男装数据汇总分析--俄罗斯'!L140</f>
        <v>0</v>
      </c>
      <c r="M140" s="34">
        <f>'[2]2026年度男装数据汇总分析--俄罗斯'!M140</f>
        <v>0</v>
      </c>
      <c r="N140" s="34">
        <f>'[2]2026年度男装数据汇总分析--俄罗斯'!N140</f>
        <v>0</v>
      </c>
      <c r="O140" s="34">
        <f>'[2]2026年度男装数据汇总分析--俄罗斯'!O140</f>
        <v>0</v>
      </c>
    </row>
    <row r="141" spans="1:15">
      <c r="A141" s="34">
        <f>'[2]2026年度男装数据汇总分析--俄罗斯'!A141</f>
        <v>0</v>
      </c>
      <c r="B141" s="34">
        <f>'[2]2026年度男装数据汇总分析--俄罗斯'!B141</f>
        <v>0</v>
      </c>
      <c r="C141" s="34">
        <f>'[2]2026年度男装数据汇总分析--俄罗斯'!C141</f>
        <v>0</v>
      </c>
      <c r="D141" s="34">
        <f>'[2]2026年度男装数据汇总分析--俄罗斯'!D141</f>
        <v>0</v>
      </c>
      <c r="E141" s="34">
        <f>'[2]2026年度男装数据汇总分析--俄罗斯'!E141</f>
        <v>0</v>
      </c>
      <c r="F141" s="34">
        <f>'[2]2026年度男装数据汇总分析--俄罗斯'!F141</f>
        <v>0</v>
      </c>
      <c r="G141" s="34">
        <f>'[2]2026年度男装数据汇总分析--俄罗斯'!G141</f>
        <v>0</v>
      </c>
      <c r="H141" s="34">
        <f>'[2]2026年度男装数据汇总分析--俄罗斯'!H141</f>
        <v>0</v>
      </c>
      <c r="I141" s="34">
        <f>'[2]2026年度男装数据汇总分析--俄罗斯'!I141</f>
        <v>0</v>
      </c>
      <c r="J141" s="34">
        <f>'[2]2026年度男装数据汇总分析--俄罗斯'!J141</f>
        <v>0</v>
      </c>
      <c r="K141" s="34">
        <f>'[2]2026年度男装数据汇总分析--俄罗斯'!K141</f>
        <v>0</v>
      </c>
      <c r="L141" s="34">
        <f>'[2]2026年度男装数据汇总分析--俄罗斯'!L141</f>
        <v>0</v>
      </c>
      <c r="M141" s="34">
        <f>'[2]2026年度男装数据汇总分析--俄罗斯'!M141</f>
        <v>0</v>
      </c>
      <c r="N141" s="34">
        <f>'[2]2026年度男装数据汇总分析--俄罗斯'!N141</f>
        <v>0</v>
      </c>
      <c r="O141" s="34">
        <f>'[2]2026年度男装数据汇总分析--俄罗斯'!O141</f>
        <v>0</v>
      </c>
    </row>
    <row r="142" spans="1:15">
      <c r="A142" s="34">
        <f>'[2]2026年度男装数据汇总分析--俄罗斯'!A142</f>
        <v>0</v>
      </c>
      <c r="B142" s="34">
        <f>'[2]2026年度男装数据汇总分析--俄罗斯'!B142</f>
        <v>0</v>
      </c>
      <c r="C142" s="34">
        <f>'[2]2026年度男装数据汇总分析--俄罗斯'!C142</f>
        <v>0</v>
      </c>
      <c r="D142" s="34">
        <f>'[2]2026年度男装数据汇总分析--俄罗斯'!D142</f>
        <v>0</v>
      </c>
      <c r="E142" s="34">
        <f>'[2]2026年度男装数据汇总分析--俄罗斯'!E142</f>
        <v>0</v>
      </c>
      <c r="F142" s="34">
        <f>'[2]2026年度男装数据汇总分析--俄罗斯'!F142</f>
        <v>0</v>
      </c>
      <c r="G142" s="34">
        <f>'[2]2026年度男装数据汇总分析--俄罗斯'!G142</f>
        <v>0</v>
      </c>
      <c r="H142" s="34">
        <f>'[2]2026年度男装数据汇总分析--俄罗斯'!H142</f>
        <v>0</v>
      </c>
      <c r="I142" s="34">
        <f>'[2]2026年度男装数据汇总分析--俄罗斯'!I142</f>
        <v>0</v>
      </c>
      <c r="J142" s="34">
        <f>'[2]2026年度男装数据汇总分析--俄罗斯'!J142</f>
        <v>0</v>
      </c>
      <c r="K142" s="34">
        <f>'[2]2026年度男装数据汇总分析--俄罗斯'!K142</f>
        <v>0</v>
      </c>
      <c r="L142" s="34">
        <f>'[2]2026年度男装数据汇总分析--俄罗斯'!L142</f>
        <v>0</v>
      </c>
      <c r="M142" s="34">
        <f>'[2]2026年度男装数据汇总分析--俄罗斯'!M142</f>
        <v>0</v>
      </c>
      <c r="N142" s="34">
        <f>'[2]2026年度男装数据汇总分析--俄罗斯'!N142</f>
        <v>0</v>
      </c>
      <c r="O142" s="34">
        <f>'[2]2026年度男装数据汇总分析--俄罗斯'!O142</f>
        <v>0</v>
      </c>
    </row>
    <row r="143" spans="1:15">
      <c r="A143" s="34">
        <f>'[2]2026年度男装数据汇总分析--俄罗斯'!A143</f>
        <v>0</v>
      </c>
      <c r="B143" s="34">
        <f>'[2]2026年度男装数据汇总分析--俄罗斯'!B143</f>
        <v>0</v>
      </c>
      <c r="C143" s="34">
        <f>'[2]2026年度男装数据汇总分析--俄罗斯'!C143</f>
        <v>0</v>
      </c>
      <c r="D143" s="34">
        <f>'[2]2026年度男装数据汇总分析--俄罗斯'!D143</f>
        <v>0</v>
      </c>
      <c r="E143" s="34">
        <f>'[2]2026年度男装数据汇总分析--俄罗斯'!E143</f>
        <v>0</v>
      </c>
      <c r="F143" s="34">
        <f>'[2]2026年度男装数据汇总分析--俄罗斯'!F143</f>
        <v>0</v>
      </c>
      <c r="G143" s="34">
        <f>'[2]2026年度男装数据汇总分析--俄罗斯'!G143</f>
        <v>0</v>
      </c>
      <c r="H143" s="34">
        <f>'[2]2026年度男装数据汇总分析--俄罗斯'!H143</f>
        <v>0</v>
      </c>
      <c r="I143" s="34">
        <f>'[2]2026年度男装数据汇总分析--俄罗斯'!I143</f>
        <v>0</v>
      </c>
      <c r="J143" s="34">
        <f>'[2]2026年度男装数据汇总分析--俄罗斯'!J143</f>
        <v>0</v>
      </c>
      <c r="K143" s="34">
        <f>'[2]2026年度男装数据汇总分析--俄罗斯'!K143</f>
        <v>0</v>
      </c>
      <c r="L143" s="34">
        <f>'[2]2026年度男装数据汇总分析--俄罗斯'!L143</f>
        <v>0</v>
      </c>
      <c r="M143" s="34">
        <f>'[2]2026年度男装数据汇总分析--俄罗斯'!M143</f>
        <v>0</v>
      </c>
      <c r="N143" s="34">
        <f>'[2]2026年度男装数据汇总分析--俄罗斯'!N143</f>
        <v>0</v>
      </c>
      <c r="O143" s="34">
        <f>'[2]2026年度男装数据汇总分析--俄罗斯'!O143</f>
        <v>0</v>
      </c>
    </row>
    <row r="144" spans="1:15">
      <c r="A144" s="34">
        <f>'[2]2026年度男装数据汇总分析--俄罗斯'!A144</f>
        <v>0</v>
      </c>
      <c r="B144" s="34">
        <f>'[2]2026年度男装数据汇总分析--俄罗斯'!B144</f>
        <v>0</v>
      </c>
      <c r="C144" s="34">
        <f>'[2]2026年度男装数据汇总分析--俄罗斯'!C144</f>
        <v>0</v>
      </c>
      <c r="D144" s="34">
        <f>'[2]2026年度男装数据汇总分析--俄罗斯'!D144</f>
        <v>0</v>
      </c>
      <c r="E144" s="34">
        <f>'[2]2026年度男装数据汇总分析--俄罗斯'!E144</f>
        <v>0</v>
      </c>
      <c r="F144" s="34">
        <f>'[2]2026年度男装数据汇总分析--俄罗斯'!F144</f>
        <v>0</v>
      </c>
      <c r="G144" s="34">
        <f>'[2]2026年度男装数据汇总分析--俄罗斯'!G144</f>
        <v>0</v>
      </c>
      <c r="H144" s="34">
        <f>'[2]2026年度男装数据汇总分析--俄罗斯'!H144</f>
        <v>0</v>
      </c>
      <c r="I144" s="34">
        <f>'[2]2026年度男装数据汇总分析--俄罗斯'!I144</f>
        <v>0</v>
      </c>
      <c r="J144" s="34">
        <f>'[2]2026年度男装数据汇总分析--俄罗斯'!J144</f>
        <v>0</v>
      </c>
      <c r="K144" s="34">
        <f>'[2]2026年度男装数据汇总分析--俄罗斯'!K144</f>
        <v>0</v>
      </c>
      <c r="L144" s="34">
        <f>'[2]2026年度男装数据汇总分析--俄罗斯'!L144</f>
        <v>0</v>
      </c>
      <c r="M144" s="34">
        <f>'[2]2026年度男装数据汇总分析--俄罗斯'!M144</f>
        <v>0</v>
      </c>
      <c r="N144" s="34">
        <f>'[2]2026年度男装数据汇总分析--俄罗斯'!N144</f>
        <v>0</v>
      </c>
      <c r="O144" s="34">
        <f>'[2]2026年度男装数据汇总分析--俄罗斯'!O144</f>
        <v>0</v>
      </c>
    </row>
    <row r="145" spans="1:15">
      <c r="A145" s="34">
        <f>'[2]2026年度男装数据汇总分析--俄罗斯'!A145</f>
        <v>0</v>
      </c>
      <c r="B145" s="34">
        <f>'[2]2026年度男装数据汇总分析--俄罗斯'!B145</f>
        <v>0</v>
      </c>
      <c r="C145" s="34">
        <f>'[2]2026年度男装数据汇总分析--俄罗斯'!C145</f>
        <v>0</v>
      </c>
      <c r="D145" s="34">
        <f>'[2]2026年度男装数据汇总分析--俄罗斯'!D145</f>
        <v>0</v>
      </c>
      <c r="E145" s="34">
        <f>'[2]2026年度男装数据汇总分析--俄罗斯'!E145</f>
        <v>0</v>
      </c>
      <c r="F145" s="34">
        <f>'[2]2026年度男装数据汇总分析--俄罗斯'!F145</f>
        <v>0</v>
      </c>
      <c r="G145" s="34">
        <f>'[2]2026年度男装数据汇总分析--俄罗斯'!G145</f>
        <v>0</v>
      </c>
      <c r="H145" s="34">
        <f>'[2]2026年度男装数据汇总分析--俄罗斯'!H145</f>
        <v>0</v>
      </c>
      <c r="I145" s="34">
        <f>'[2]2026年度男装数据汇总分析--俄罗斯'!I145</f>
        <v>0</v>
      </c>
      <c r="J145" s="34">
        <f>'[2]2026年度男装数据汇总分析--俄罗斯'!J145</f>
        <v>0</v>
      </c>
      <c r="K145" s="34">
        <f>'[2]2026年度男装数据汇总分析--俄罗斯'!K145</f>
        <v>0</v>
      </c>
      <c r="L145" s="34">
        <f>'[2]2026年度男装数据汇总分析--俄罗斯'!L145</f>
        <v>0</v>
      </c>
      <c r="M145" s="34">
        <f>'[2]2026年度男装数据汇总分析--俄罗斯'!M145</f>
        <v>0</v>
      </c>
      <c r="N145" s="34">
        <f>'[2]2026年度男装数据汇总分析--俄罗斯'!N145</f>
        <v>0</v>
      </c>
      <c r="O145" s="34">
        <f>'[2]2026年度男装数据汇总分析--俄罗斯'!O145</f>
        <v>0</v>
      </c>
    </row>
    <row r="146" spans="1:15">
      <c r="A146" s="34">
        <f>'[2]2026年度男装数据汇总分析--俄罗斯'!A146</f>
        <v>0</v>
      </c>
      <c r="B146" s="34">
        <f>'[2]2026年度男装数据汇总分析--俄罗斯'!B146</f>
        <v>0</v>
      </c>
      <c r="C146" s="34">
        <f>'[2]2026年度男装数据汇总分析--俄罗斯'!C146</f>
        <v>0</v>
      </c>
      <c r="D146" s="34">
        <f>'[2]2026年度男装数据汇总分析--俄罗斯'!D146</f>
        <v>0</v>
      </c>
      <c r="E146" s="34">
        <f>'[2]2026年度男装数据汇总分析--俄罗斯'!E146</f>
        <v>0</v>
      </c>
      <c r="F146" s="34">
        <f>'[2]2026年度男装数据汇总分析--俄罗斯'!F146</f>
        <v>0</v>
      </c>
      <c r="G146" s="34">
        <f>'[2]2026年度男装数据汇总分析--俄罗斯'!G146</f>
        <v>0</v>
      </c>
      <c r="H146" s="34">
        <f>'[2]2026年度男装数据汇总分析--俄罗斯'!H146</f>
        <v>0</v>
      </c>
      <c r="I146" s="34">
        <f>'[2]2026年度男装数据汇总分析--俄罗斯'!I146</f>
        <v>0</v>
      </c>
      <c r="J146" s="34">
        <f>'[2]2026年度男装数据汇总分析--俄罗斯'!J146</f>
        <v>0</v>
      </c>
      <c r="K146" s="34">
        <f>'[2]2026年度男装数据汇总分析--俄罗斯'!K146</f>
        <v>0</v>
      </c>
      <c r="L146" s="34">
        <f>'[2]2026年度男装数据汇总分析--俄罗斯'!L146</f>
        <v>0</v>
      </c>
      <c r="M146" s="34">
        <f>'[2]2026年度男装数据汇总分析--俄罗斯'!M146</f>
        <v>0</v>
      </c>
      <c r="N146" s="34">
        <f>'[2]2026年度男装数据汇总分析--俄罗斯'!N146</f>
        <v>0</v>
      </c>
      <c r="O146" s="34">
        <f>'[2]2026年度男装数据汇总分析--俄罗斯'!O146</f>
        <v>0</v>
      </c>
    </row>
    <row r="147" spans="1:15">
      <c r="A147" s="34">
        <f>'[2]2026年度男装数据汇总分析--俄罗斯'!A147</f>
        <v>0</v>
      </c>
      <c r="B147" s="34">
        <f>'[2]2026年度男装数据汇总分析--俄罗斯'!B147</f>
        <v>0</v>
      </c>
      <c r="C147" s="34">
        <f>'[2]2026年度男装数据汇总分析--俄罗斯'!C147</f>
        <v>0</v>
      </c>
      <c r="D147" s="34">
        <f>'[2]2026年度男装数据汇总分析--俄罗斯'!D147</f>
        <v>0</v>
      </c>
      <c r="E147" s="34">
        <f>'[2]2026年度男装数据汇总分析--俄罗斯'!E147</f>
        <v>0</v>
      </c>
      <c r="F147" s="34">
        <f>'[2]2026年度男装数据汇总分析--俄罗斯'!F147</f>
        <v>0</v>
      </c>
      <c r="G147" s="34">
        <f>'[2]2026年度男装数据汇总分析--俄罗斯'!G147</f>
        <v>0</v>
      </c>
      <c r="H147" s="34">
        <f>'[2]2026年度男装数据汇总分析--俄罗斯'!H147</f>
        <v>0</v>
      </c>
      <c r="I147" s="34">
        <f>'[2]2026年度男装数据汇总分析--俄罗斯'!I147</f>
        <v>0</v>
      </c>
      <c r="J147" s="34">
        <f>'[2]2026年度男装数据汇总分析--俄罗斯'!J147</f>
        <v>0</v>
      </c>
      <c r="K147" s="34">
        <f>'[2]2026年度男装数据汇总分析--俄罗斯'!K147</f>
        <v>0</v>
      </c>
      <c r="L147" s="34">
        <f>'[2]2026年度男装数据汇总分析--俄罗斯'!L147</f>
        <v>0</v>
      </c>
      <c r="M147" s="34">
        <f>'[2]2026年度男装数据汇总分析--俄罗斯'!M147</f>
        <v>0</v>
      </c>
      <c r="N147" s="34">
        <f>'[2]2026年度男装数据汇总分析--俄罗斯'!N147</f>
        <v>0</v>
      </c>
      <c r="O147" s="34">
        <f>'[2]2026年度男装数据汇总分析--俄罗斯'!O147</f>
        <v>0</v>
      </c>
    </row>
    <row r="148" spans="1:15">
      <c r="A148" s="34">
        <f>'[2]2026年度男装数据汇总分析--俄罗斯'!A148</f>
        <v>0</v>
      </c>
      <c r="B148" s="34">
        <f>'[2]2026年度男装数据汇总分析--俄罗斯'!B148</f>
        <v>0</v>
      </c>
      <c r="C148" s="34">
        <f>'[2]2026年度男装数据汇总分析--俄罗斯'!C148</f>
        <v>0</v>
      </c>
      <c r="D148" s="34">
        <f>'[2]2026年度男装数据汇总分析--俄罗斯'!D148</f>
        <v>0</v>
      </c>
      <c r="E148" s="34">
        <f>'[2]2026年度男装数据汇总分析--俄罗斯'!E148</f>
        <v>0</v>
      </c>
      <c r="F148" s="34">
        <f>'[2]2026年度男装数据汇总分析--俄罗斯'!F148</f>
        <v>0</v>
      </c>
      <c r="G148" s="34">
        <f>'[2]2026年度男装数据汇总分析--俄罗斯'!G148</f>
        <v>0</v>
      </c>
      <c r="H148" s="34">
        <f>'[2]2026年度男装数据汇总分析--俄罗斯'!H148</f>
        <v>0</v>
      </c>
      <c r="I148" s="34">
        <f>'[2]2026年度男装数据汇总分析--俄罗斯'!I148</f>
        <v>0</v>
      </c>
      <c r="J148" s="34">
        <f>'[2]2026年度男装数据汇总分析--俄罗斯'!J148</f>
        <v>0</v>
      </c>
      <c r="K148" s="34">
        <f>'[2]2026年度男装数据汇总分析--俄罗斯'!K148</f>
        <v>0</v>
      </c>
      <c r="L148" s="34">
        <f>'[2]2026年度男装数据汇总分析--俄罗斯'!L148</f>
        <v>0</v>
      </c>
      <c r="M148" s="34">
        <f>'[2]2026年度男装数据汇总分析--俄罗斯'!M148</f>
        <v>0</v>
      </c>
      <c r="N148" s="34">
        <f>'[2]2026年度男装数据汇总分析--俄罗斯'!N148</f>
        <v>0</v>
      </c>
      <c r="O148" s="34">
        <f>'[2]2026年度男装数据汇总分析--俄罗斯'!O148</f>
        <v>0</v>
      </c>
    </row>
    <row r="149" spans="1:15">
      <c r="A149" s="34">
        <f>'[2]2026年度男装数据汇总分析--俄罗斯'!A149</f>
        <v>0</v>
      </c>
      <c r="B149" s="34">
        <f>'[2]2026年度男装数据汇总分析--俄罗斯'!B149</f>
        <v>0</v>
      </c>
      <c r="C149" s="34">
        <f>'[2]2026年度男装数据汇总分析--俄罗斯'!C149</f>
        <v>0</v>
      </c>
      <c r="D149" s="34">
        <f>'[2]2026年度男装数据汇总分析--俄罗斯'!D149</f>
        <v>0</v>
      </c>
      <c r="E149" s="34">
        <f>'[2]2026年度男装数据汇总分析--俄罗斯'!E149</f>
        <v>0</v>
      </c>
      <c r="F149" s="34">
        <f>'[2]2026年度男装数据汇总分析--俄罗斯'!F149</f>
        <v>0</v>
      </c>
      <c r="G149" s="34">
        <f>'[2]2026年度男装数据汇总分析--俄罗斯'!G149</f>
        <v>0</v>
      </c>
      <c r="H149" s="34">
        <f>'[2]2026年度男装数据汇总分析--俄罗斯'!H149</f>
        <v>0</v>
      </c>
      <c r="I149" s="34">
        <f>'[2]2026年度男装数据汇总分析--俄罗斯'!I149</f>
        <v>0</v>
      </c>
      <c r="J149" s="34">
        <f>'[2]2026年度男装数据汇总分析--俄罗斯'!J149</f>
        <v>0</v>
      </c>
      <c r="K149" s="34">
        <f>'[2]2026年度男装数据汇总分析--俄罗斯'!K149</f>
        <v>0</v>
      </c>
      <c r="L149" s="34">
        <f>'[2]2026年度男装数据汇总分析--俄罗斯'!L149</f>
        <v>0</v>
      </c>
      <c r="M149" s="34">
        <f>'[2]2026年度男装数据汇总分析--俄罗斯'!M149</f>
        <v>0</v>
      </c>
      <c r="N149" s="34">
        <f>'[2]2026年度男装数据汇总分析--俄罗斯'!N149</f>
        <v>0</v>
      </c>
      <c r="O149" s="34">
        <f>'[2]2026年度男装数据汇总分析--俄罗斯'!O149</f>
        <v>0</v>
      </c>
    </row>
    <row r="150" spans="1:15">
      <c r="A150" s="34">
        <f>'[2]2026年度男装数据汇总分析--俄罗斯'!A150</f>
        <v>0</v>
      </c>
      <c r="B150" s="34">
        <f>'[2]2026年度男装数据汇总分析--俄罗斯'!B150</f>
        <v>0</v>
      </c>
      <c r="C150" s="34">
        <f>'[2]2026年度男装数据汇总分析--俄罗斯'!C150</f>
        <v>0</v>
      </c>
      <c r="D150" s="34">
        <f>'[2]2026年度男装数据汇总分析--俄罗斯'!D150</f>
        <v>0</v>
      </c>
      <c r="E150" s="34">
        <f>'[2]2026年度男装数据汇总分析--俄罗斯'!E150</f>
        <v>0</v>
      </c>
      <c r="F150" s="34">
        <f>'[2]2026年度男装数据汇总分析--俄罗斯'!F150</f>
        <v>0</v>
      </c>
      <c r="G150" s="34">
        <f>'[2]2026年度男装数据汇总分析--俄罗斯'!G150</f>
        <v>0</v>
      </c>
      <c r="H150" s="34">
        <f>'[2]2026年度男装数据汇总分析--俄罗斯'!H150</f>
        <v>0</v>
      </c>
      <c r="I150" s="34">
        <f>'[2]2026年度男装数据汇总分析--俄罗斯'!I150</f>
        <v>0</v>
      </c>
      <c r="J150" s="34">
        <f>'[2]2026年度男装数据汇总分析--俄罗斯'!J150</f>
        <v>0</v>
      </c>
      <c r="K150" s="34">
        <f>'[2]2026年度男装数据汇总分析--俄罗斯'!K150</f>
        <v>0</v>
      </c>
      <c r="L150" s="34">
        <f>'[2]2026年度男装数据汇总分析--俄罗斯'!L150</f>
        <v>0</v>
      </c>
      <c r="M150" s="34">
        <f>'[2]2026年度男装数据汇总分析--俄罗斯'!M150</f>
        <v>0</v>
      </c>
      <c r="N150" s="34">
        <f>'[2]2026年度男装数据汇总分析--俄罗斯'!N150</f>
        <v>0</v>
      </c>
      <c r="O150" s="34">
        <f>'[2]2026年度男装数据汇总分析--俄罗斯'!O150</f>
        <v>0</v>
      </c>
    </row>
    <row r="151" spans="1:15">
      <c r="A151" s="34">
        <f>'[2]2026年度男装数据汇总分析--俄罗斯'!A151</f>
        <v>0</v>
      </c>
      <c r="B151" s="34">
        <f>'[2]2026年度男装数据汇总分析--俄罗斯'!B151</f>
        <v>0</v>
      </c>
      <c r="C151" s="34">
        <f>'[2]2026年度男装数据汇总分析--俄罗斯'!C151</f>
        <v>0</v>
      </c>
      <c r="D151" s="34">
        <f>'[2]2026年度男装数据汇总分析--俄罗斯'!D151</f>
        <v>0</v>
      </c>
      <c r="E151" s="34">
        <f>'[2]2026年度男装数据汇总分析--俄罗斯'!E151</f>
        <v>0</v>
      </c>
      <c r="F151" s="34">
        <f>'[2]2026年度男装数据汇总分析--俄罗斯'!F151</f>
        <v>0</v>
      </c>
      <c r="G151" s="34">
        <f>'[2]2026年度男装数据汇总分析--俄罗斯'!G151</f>
        <v>0</v>
      </c>
      <c r="H151" s="34">
        <f>'[2]2026年度男装数据汇总分析--俄罗斯'!H151</f>
        <v>0</v>
      </c>
      <c r="I151" s="34">
        <f>'[2]2026年度男装数据汇总分析--俄罗斯'!I151</f>
        <v>0</v>
      </c>
      <c r="J151" s="34">
        <f>'[2]2026年度男装数据汇总分析--俄罗斯'!J151</f>
        <v>0</v>
      </c>
      <c r="K151" s="34">
        <f>'[2]2026年度男装数据汇总分析--俄罗斯'!K151</f>
        <v>0</v>
      </c>
      <c r="L151" s="34">
        <f>'[2]2026年度男装数据汇总分析--俄罗斯'!L151</f>
        <v>0</v>
      </c>
      <c r="M151" s="34">
        <f>'[2]2026年度男装数据汇总分析--俄罗斯'!M151</f>
        <v>0</v>
      </c>
      <c r="N151" s="34">
        <f>'[2]2026年度男装数据汇总分析--俄罗斯'!N151</f>
        <v>0</v>
      </c>
      <c r="O151" s="34">
        <f>'[2]2026年度男装数据汇总分析--俄罗斯'!O151</f>
        <v>0</v>
      </c>
    </row>
    <row r="152" spans="1:15">
      <c r="A152" s="34">
        <f>'[2]2026年度男装数据汇总分析--俄罗斯'!A152</f>
        <v>0</v>
      </c>
      <c r="B152" s="34">
        <f>'[2]2026年度男装数据汇总分析--俄罗斯'!B152</f>
        <v>0</v>
      </c>
      <c r="C152" s="34">
        <f>'[2]2026年度男装数据汇总分析--俄罗斯'!C152</f>
        <v>0</v>
      </c>
      <c r="D152" s="34">
        <f>'[2]2026年度男装数据汇总分析--俄罗斯'!D152</f>
        <v>0</v>
      </c>
      <c r="E152" s="34">
        <f>'[2]2026年度男装数据汇总分析--俄罗斯'!E152</f>
        <v>0</v>
      </c>
      <c r="F152" s="34">
        <f>'[2]2026年度男装数据汇总分析--俄罗斯'!F152</f>
        <v>0</v>
      </c>
      <c r="G152" s="34">
        <f>'[2]2026年度男装数据汇总分析--俄罗斯'!G152</f>
        <v>0</v>
      </c>
      <c r="H152" s="34">
        <f>'[2]2026年度男装数据汇总分析--俄罗斯'!H152</f>
        <v>0</v>
      </c>
      <c r="I152" s="34">
        <f>'[2]2026年度男装数据汇总分析--俄罗斯'!I152</f>
        <v>0</v>
      </c>
      <c r="J152" s="34">
        <f>'[2]2026年度男装数据汇总分析--俄罗斯'!J152</f>
        <v>0</v>
      </c>
      <c r="K152" s="34">
        <f>'[2]2026年度男装数据汇总分析--俄罗斯'!K152</f>
        <v>0</v>
      </c>
      <c r="L152" s="34">
        <f>'[2]2026年度男装数据汇总分析--俄罗斯'!L152</f>
        <v>0</v>
      </c>
      <c r="M152" s="34">
        <f>'[2]2026年度男装数据汇总分析--俄罗斯'!M152</f>
        <v>0</v>
      </c>
      <c r="N152" s="34">
        <f>'[2]2026年度男装数据汇总分析--俄罗斯'!N152</f>
        <v>0</v>
      </c>
      <c r="O152" s="34">
        <f>'[2]2026年度男装数据汇总分析--俄罗斯'!O152</f>
        <v>0</v>
      </c>
    </row>
    <row r="153" spans="1:15">
      <c r="A153" s="34">
        <f>'[2]2026年度男装数据汇总分析--俄罗斯'!A153</f>
        <v>0</v>
      </c>
      <c r="B153" s="34">
        <f>'[2]2026年度男装数据汇总分析--俄罗斯'!B153</f>
        <v>0</v>
      </c>
      <c r="C153" s="34">
        <f>'[2]2026年度男装数据汇总分析--俄罗斯'!C153</f>
        <v>0</v>
      </c>
      <c r="D153" s="34">
        <f>'[2]2026年度男装数据汇总分析--俄罗斯'!D153</f>
        <v>0</v>
      </c>
      <c r="E153" s="34">
        <f>'[2]2026年度男装数据汇总分析--俄罗斯'!E153</f>
        <v>0</v>
      </c>
      <c r="F153" s="34">
        <f>'[2]2026年度男装数据汇总分析--俄罗斯'!F153</f>
        <v>0</v>
      </c>
      <c r="G153" s="34">
        <f>'[2]2026年度男装数据汇总分析--俄罗斯'!G153</f>
        <v>0</v>
      </c>
      <c r="H153" s="34">
        <f>'[2]2026年度男装数据汇总分析--俄罗斯'!H153</f>
        <v>0</v>
      </c>
      <c r="I153" s="34">
        <f>'[2]2026年度男装数据汇总分析--俄罗斯'!I153</f>
        <v>0</v>
      </c>
      <c r="J153" s="34">
        <f>'[2]2026年度男装数据汇总分析--俄罗斯'!J153</f>
        <v>0</v>
      </c>
      <c r="K153" s="34">
        <f>'[2]2026年度男装数据汇总分析--俄罗斯'!K153</f>
        <v>0</v>
      </c>
      <c r="L153" s="34">
        <f>'[2]2026年度男装数据汇总分析--俄罗斯'!L153</f>
        <v>0</v>
      </c>
      <c r="M153" s="34">
        <f>'[2]2026年度男装数据汇总分析--俄罗斯'!M153</f>
        <v>0</v>
      </c>
      <c r="N153" s="34">
        <f>'[2]2026年度男装数据汇总分析--俄罗斯'!N153</f>
        <v>0</v>
      </c>
      <c r="O153" s="34">
        <f>'[2]2026年度男装数据汇总分析--俄罗斯'!O153</f>
        <v>0</v>
      </c>
    </row>
    <row r="154" spans="1:15">
      <c r="A154" s="34">
        <f>'[2]2026年度男装数据汇总分析--俄罗斯'!A154</f>
        <v>0</v>
      </c>
      <c r="B154" s="34">
        <f>'[2]2026年度男装数据汇总分析--俄罗斯'!B154</f>
        <v>0</v>
      </c>
      <c r="C154" s="34">
        <f>'[2]2026年度男装数据汇总分析--俄罗斯'!C154</f>
        <v>0</v>
      </c>
      <c r="D154" s="34">
        <f>'[2]2026年度男装数据汇总分析--俄罗斯'!D154</f>
        <v>0</v>
      </c>
      <c r="E154" s="34">
        <f>'[2]2026年度男装数据汇总分析--俄罗斯'!E154</f>
        <v>0</v>
      </c>
      <c r="F154" s="34">
        <f>'[2]2026年度男装数据汇总分析--俄罗斯'!F154</f>
        <v>0</v>
      </c>
      <c r="G154" s="34">
        <f>'[2]2026年度男装数据汇总分析--俄罗斯'!G154</f>
        <v>0</v>
      </c>
      <c r="H154" s="34">
        <f>'[2]2026年度男装数据汇总分析--俄罗斯'!H154</f>
        <v>0</v>
      </c>
      <c r="I154" s="34">
        <f>'[2]2026年度男装数据汇总分析--俄罗斯'!I154</f>
        <v>0</v>
      </c>
      <c r="J154" s="34">
        <f>'[2]2026年度男装数据汇总分析--俄罗斯'!J154</f>
        <v>0</v>
      </c>
      <c r="K154" s="34">
        <f>'[2]2026年度男装数据汇总分析--俄罗斯'!K154</f>
        <v>0</v>
      </c>
      <c r="L154" s="34">
        <f>'[2]2026年度男装数据汇总分析--俄罗斯'!L154</f>
        <v>0</v>
      </c>
      <c r="M154" s="34">
        <f>'[2]2026年度男装数据汇总分析--俄罗斯'!M154</f>
        <v>0</v>
      </c>
      <c r="N154" s="34">
        <f>'[2]2026年度男装数据汇总分析--俄罗斯'!N154</f>
        <v>0</v>
      </c>
      <c r="O154" s="34">
        <f>'[2]2026年度男装数据汇总分析--俄罗斯'!O154</f>
        <v>0</v>
      </c>
    </row>
    <row r="155" spans="1:15">
      <c r="A155" s="34">
        <f>'[2]2026年度男装数据汇总分析--俄罗斯'!A155</f>
        <v>0</v>
      </c>
      <c r="B155" s="34">
        <f>'[2]2026年度男装数据汇总分析--俄罗斯'!B155</f>
        <v>0</v>
      </c>
      <c r="C155" s="34">
        <f>'[2]2026年度男装数据汇总分析--俄罗斯'!C155</f>
        <v>0</v>
      </c>
      <c r="D155" s="34">
        <f>'[2]2026年度男装数据汇总分析--俄罗斯'!D155</f>
        <v>0</v>
      </c>
      <c r="E155" s="34">
        <f>'[2]2026年度男装数据汇总分析--俄罗斯'!E155</f>
        <v>0</v>
      </c>
      <c r="F155" s="34">
        <f>'[2]2026年度男装数据汇总分析--俄罗斯'!F155</f>
        <v>0</v>
      </c>
      <c r="G155" s="34">
        <f>'[2]2026年度男装数据汇总分析--俄罗斯'!G155</f>
        <v>0</v>
      </c>
      <c r="H155" s="34">
        <f>'[2]2026年度男装数据汇总分析--俄罗斯'!H155</f>
        <v>0</v>
      </c>
      <c r="I155" s="34">
        <f>'[2]2026年度男装数据汇总分析--俄罗斯'!I155</f>
        <v>0</v>
      </c>
      <c r="J155" s="34">
        <f>'[2]2026年度男装数据汇总分析--俄罗斯'!J155</f>
        <v>0</v>
      </c>
      <c r="K155" s="34">
        <f>'[2]2026年度男装数据汇总分析--俄罗斯'!K155</f>
        <v>0</v>
      </c>
      <c r="L155" s="34">
        <f>'[2]2026年度男装数据汇总分析--俄罗斯'!L155</f>
        <v>0</v>
      </c>
      <c r="M155" s="34">
        <f>'[2]2026年度男装数据汇总分析--俄罗斯'!M155</f>
        <v>0</v>
      </c>
      <c r="N155" s="34">
        <f>'[2]2026年度男装数据汇总分析--俄罗斯'!N155</f>
        <v>0</v>
      </c>
      <c r="O155" s="34">
        <f>'[2]2026年度男装数据汇总分析--俄罗斯'!O155</f>
        <v>0</v>
      </c>
    </row>
    <row r="156" spans="1:15">
      <c r="A156" s="34">
        <f>'[2]2026年度男装数据汇总分析--俄罗斯'!A156</f>
        <v>0</v>
      </c>
      <c r="B156" s="34">
        <f>'[2]2026年度男装数据汇总分析--俄罗斯'!B156</f>
        <v>0</v>
      </c>
      <c r="C156" s="34">
        <f>'[2]2026年度男装数据汇总分析--俄罗斯'!C156</f>
        <v>0</v>
      </c>
      <c r="D156" s="34">
        <f>'[2]2026年度男装数据汇总分析--俄罗斯'!D156</f>
        <v>0</v>
      </c>
      <c r="E156" s="34">
        <f>'[2]2026年度男装数据汇总分析--俄罗斯'!E156</f>
        <v>0</v>
      </c>
      <c r="F156" s="34">
        <f>'[2]2026年度男装数据汇总分析--俄罗斯'!F156</f>
        <v>0</v>
      </c>
      <c r="G156" s="34">
        <f>'[2]2026年度男装数据汇总分析--俄罗斯'!G156</f>
        <v>0</v>
      </c>
      <c r="H156" s="34">
        <f>'[2]2026年度男装数据汇总分析--俄罗斯'!H156</f>
        <v>0</v>
      </c>
      <c r="I156" s="34">
        <f>'[2]2026年度男装数据汇总分析--俄罗斯'!I156</f>
        <v>0</v>
      </c>
      <c r="J156" s="34">
        <f>'[2]2026年度男装数据汇总分析--俄罗斯'!J156</f>
        <v>0</v>
      </c>
      <c r="K156" s="34">
        <f>'[2]2026年度男装数据汇总分析--俄罗斯'!K156</f>
        <v>0</v>
      </c>
      <c r="L156" s="34">
        <f>'[2]2026年度男装数据汇总分析--俄罗斯'!L156</f>
        <v>0</v>
      </c>
      <c r="M156" s="34">
        <f>'[2]2026年度男装数据汇总分析--俄罗斯'!M156</f>
        <v>0</v>
      </c>
      <c r="N156" s="34">
        <f>'[2]2026年度男装数据汇总分析--俄罗斯'!N156</f>
        <v>0</v>
      </c>
      <c r="O156" s="34">
        <f>'[2]2026年度男装数据汇总分析--俄罗斯'!O156</f>
        <v>0</v>
      </c>
    </row>
    <row r="157" spans="1:15">
      <c r="A157" s="34">
        <f>'[2]2026年度男装数据汇总分析--俄罗斯'!A157</f>
        <v>0</v>
      </c>
      <c r="B157" s="34">
        <f>'[2]2026年度男装数据汇总分析--俄罗斯'!B157</f>
        <v>0</v>
      </c>
      <c r="C157" s="34">
        <f>'[2]2026年度男装数据汇总分析--俄罗斯'!C157</f>
        <v>0</v>
      </c>
      <c r="D157" s="34">
        <f>'[2]2026年度男装数据汇总分析--俄罗斯'!D157</f>
        <v>0</v>
      </c>
      <c r="E157" s="34">
        <f>'[2]2026年度男装数据汇总分析--俄罗斯'!E157</f>
        <v>0</v>
      </c>
      <c r="F157" s="34">
        <f>'[2]2026年度男装数据汇总分析--俄罗斯'!F157</f>
        <v>0</v>
      </c>
      <c r="G157" s="34">
        <f>'[2]2026年度男装数据汇总分析--俄罗斯'!G157</f>
        <v>0</v>
      </c>
      <c r="H157" s="34">
        <f>'[2]2026年度男装数据汇总分析--俄罗斯'!H157</f>
        <v>0</v>
      </c>
      <c r="I157" s="34">
        <f>'[2]2026年度男装数据汇总分析--俄罗斯'!I157</f>
        <v>0</v>
      </c>
      <c r="J157" s="34">
        <f>'[2]2026年度男装数据汇总分析--俄罗斯'!J157</f>
        <v>0</v>
      </c>
      <c r="K157" s="34">
        <f>'[2]2026年度男装数据汇总分析--俄罗斯'!K157</f>
        <v>0</v>
      </c>
      <c r="L157" s="34">
        <f>'[2]2026年度男装数据汇总分析--俄罗斯'!L157</f>
        <v>0</v>
      </c>
      <c r="M157" s="34">
        <f>'[2]2026年度男装数据汇总分析--俄罗斯'!M157</f>
        <v>0</v>
      </c>
      <c r="N157" s="34">
        <f>'[2]2026年度男装数据汇总分析--俄罗斯'!N157</f>
        <v>0</v>
      </c>
      <c r="O157" s="34">
        <f>'[2]2026年度男装数据汇总分析--俄罗斯'!O157</f>
        <v>0</v>
      </c>
    </row>
    <row r="158" spans="1:15">
      <c r="A158" s="34">
        <f>'[2]2026年度男装数据汇总分析--俄罗斯'!A158</f>
        <v>0</v>
      </c>
      <c r="B158" s="34">
        <f>'[2]2026年度男装数据汇总分析--俄罗斯'!B158</f>
        <v>0</v>
      </c>
      <c r="C158" s="34">
        <f>'[2]2026年度男装数据汇总分析--俄罗斯'!C158</f>
        <v>0</v>
      </c>
      <c r="D158" s="34">
        <f>'[2]2026年度男装数据汇总分析--俄罗斯'!D158</f>
        <v>0</v>
      </c>
      <c r="E158" s="34">
        <f>'[2]2026年度男装数据汇总分析--俄罗斯'!E158</f>
        <v>0</v>
      </c>
      <c r="F158" s="34">
        <f>'[2]2026年度男装数据汇总分析--俄罗斯'!F158</f>
        <v>0</v>
      </c>
      <c r="G158" s="34">
        <f>'[2]2026年度男装数据汇总分析--俄罗斯'!G158</f>
        <v>0</v>
      </c>
      <c r="H158" s="34">
        <f>'[2]2026年度男装数据汇总分析--俄罗斯'!H158</f>
        <v>0</v>
      </c>
      <c r="I158" s="34">
        <f>'[2]2026年度男装数据汇总分析--俄罗斯'!I158</f>
        <v>0</v>
      </c>
      <c r="J158" s="34">
        <f>'[2]2026年度男装数据汇总分析--俄罗斯'!J158</f>
        <v>0</v>
      </c>
      <c r="K158" s="34">
        <f>'[2]2026年度男装数据汇总分析--俄罗斯'!K158</f>
        <v>0</v>
      </c>
      <c r="L158" s="34">
        <f>'[2]2026年度男装数据汇总分析--俄罗斯'!L158</f>
        <v>0</v>
      </c>
      <c r="M158" s="34">
        <f>'[2]2026年度男装数据汇总分析--俄罗斯'!M158</f>
        <v>0</v>
      </c>
      <c r="N158" s="34">
        <f>'[2]2026年度男装数据汇总分析--俄罗斯'!N158</f>
        <v>0</v>
      </c>
      <c r="O158" s="34">
        <f>'[2]2026年度男装数据汇总分析--俄罗斯'!O158</f>
        <v>0</v>
      </c>
    </row>
    <row r="159" spans="1:15">
      <c r="A159" s="34">
        <f>'[2]2026年度男装数据汇总分析--俄罗斯'!A159</f>
        <v>0</v>
      </c>
      <c r="B159" s="34">
        <f>'[2]2026年度男装数据汇总分析--俄罗斯'!B159</f>
        <v>0</v>
      </c>
      <c r="C159" s="34">
        <f>'[2]2026年度男装数据汇总分析--俄罗斯'!C159</f>
        <v>0</v>
      </c>
      <c r="D159" s="34">
        <f>'[2]2026年度男装数据汇总分析--俄罗斯'!D159</f>
        <v>0</v>
      </c>
      <c r="E159" s="34">
        <f>'[2]2026年度男装数据汇总分析--俄罗斯'!E159</f>
        <v>0</v>
      </c>
      <c r="F159" s="34">
        <f>'[2]2026年度男装数据汇总分析--俄罗斯'!F159</f>
        <v>0</v>
      </c>
      <c r="G159" s="34">
        <f>'[2]2026年度男装数据汇总分析--俄罗斯'!G159</f>
        <v>0</v>
      </c>
      <c r="H159" s="34">
        <f>'[2]2026年度男装数据汇总分析--俄罗斯'!H159</f>
        <v>0</v>
      </c>
      <c r="I159" s="34">
        <f>'[2]2026年度男装数据汇总分析--俄罗斯'!I159</f>
        <v>0</v>
      </c>
      <c r="J159" s="34">
        <f>'[2]2026年度男装数据汇总分析--俄罗斯'!J159</f>
        <v>0</v>
      </c>
      <c r="K159" s="34">
        <f>'[2]2026年度男装数据汇总分析--俄罗斯'!K159</f>
        <v>0</v>
      </c>
      <c r="L159" s="34">
        <f>'[2]2026年度男装数据汇总分析--俄罗斯'!L159</f>
        <v>0</v>
      </c>
      <c r="M159" s="34">
        <f>'[2]2026年度男装数据汇总分析--俄罗斯'!M159</f>
        <v>0</v>
      </c>
      <c r="N159" s="34">
        <f>'[2]2026年度男装数据汇总分析--俄罗斯'!N159</f>
        <v>0</v>
      </c>
      <c r="O159" s="34">
        <f>'[2]2026年度男装数据汇总分析--俄罗斯'!O159</f>
        <v>0</v>
      </c>
    </row>
    <row r="160" spans="1:15">
      <c r="A160" s="34">
        <f>'[2]2026年度男装数据汇总分析--俄罗斯'!A160</f>
        <v>0</v>
      </c>
      <c r="B160" s="34">
        <f>'[2]2026年度男装数据汇总分析--俄罗斯'!B160</f>
        <v>0</v>
      </c>
      <c r="C160" s="34">
        <f>'[2]2026年度男装数据汇总分析--俄罗斯'!C160</f>
        <v>0</v>
      </c>
      <c r="D160" s="34">
        <f>'[2]2026年度男装数据汇总分析--俄罗斯'!D160</f>
        <v>0</v>
      </c>
      <c r="E160" s="34">
        <f>'[2]2026年度男装数据汇总分析--俄罗斯'!E160</f>
        <v>0</v>
      </c>
      <c r="F160" s="34">
        <f>'[2]2026年度男装数据汇总分析--俄罗斯'!F160</f>
        <v>0</v>
      </c>
      <c r="G160" s="34">
        <f>'[2]2026年度男装数据汇总分析--俄罗斯'!G160</f>
        <v>0</v>
      </c>
      <c r="H160" s="34">
        <f>'[2]2026年度男装数据汇总分析--俄罗斯'!H160</f>
        <v>0</v>
      </c>
      <c r="I160" s="34">
        <f>'[2]2026年度男装数据汇总分析--俄罗斯'!I160</f>
        <v>0</v>
      </c>
      <c r="J160" s="34">
        <f>'[2]2026年度男装数据汇总分析--俄罗斯'!J160</f>
        <v>0</v>
      </c>
      <c r="K160" s="34">
        <f>'[2]2026年度男装数据汇总分析--俄罗斯'!K160</f>
        <v>0</v>
      </c>
      <c r="L160" s="34">
        <f>'[2]2026年度男装数据汇总分析--俄罗斯'!L160</f>
        <v>0</v>
      </c>
      <c r="M160" s="34">
        <f>'[2]2026年度男装数据汇总分析--俄罗斯'!M160</f>
        <v>0</v>
      </c>
      <c r="N160" s="34">
        <f>'[2]2026年度男装数据汇总分析--俄罗斯'!N160</f>
        <v>0</v>
      </c>
      <c r="O160" s="34">
        <f>'[2]2026年度男装数据汇总分析--俄罗斯'!O160</f>
        <v>0</v>
      </c>
    </row>
    <row r="161" spans="1:15">
      <c r="A161" s="34">
        <f>'[2]2026年度男装数据汇总分析--俄罗斯'!A161</f>
        <v>0</v>
      </c>
      <c r="B161" s="34">
        <f>'[2]2026年度男装数据汇总分析--俄罗斯'!B161</f>
        <v>0</v>
      </c>
      <c r="C161" s="34">
        <f>'[2]2026年度男装数据汇总分析--俄罗斯'!C161</f>
        <v>0</v>
      </c>
      <c r="D161" s="34">
        <f>'[2]2026年度男装数据汇总分析--俄罗斯'!D161</f>
        <v>0</v>
      </c>
      <c r="E161" s="34">
        <f>'[2]2026年度男装数据汇总分析--俄罗斯'!E161</f>
        <v>0</v>
      </c>
      <c r="F161" s="34">
        <f>'[2]2026年度男装数据汇总分析--俄罗斯'!F161</f>
        <v>0</v>
      </c>
      <c r="G161" s="34">
        <f>'[2]2026年度男装数据汇总分析--俄罗斯'!G161</f>
        <v>0</v>
      </c>
      <c r="H161" s="34">
        <f>'[2]2026年度男装数据汇总分析--俄罗斯'!H161</f>
        <v>0</v>
      </c>
      <c r="I161" s="34">
        <f>'[2]2026年度男装数据汇总分析--俄罗斯'!I161</f>
        <v>0</v>
      </c>
      <c r="J161" s="34">
        <f>'[2]2026年度男装数据汇总分析--俄罗斯'!J161</f>
        <v>0</v>
      </c>
      <c r="K161" s="34">
        <f>'[2]2026年度男装数据汇总分析--俄罗斯'!K161</f>
        <v>0</v>
      </c>
      <c r="L161" s="34">
        <f>'[2]2026年度男装数据汇总分析--俄罗斯'!L161</f>
        <v>0</v>
      </c>
      <c r="M161" s="34">
        <f>'[2]2026年度男装数据汇总分析--俄罗斯'!M161</f>
        <v>0</v>
      </c>
      <c r="N161" s="34">
        <f>'[2]2026年度男装数据汇总分析--俄罗斯'!N161</f>
        <v>0</v>
      </c>
      <c r="O161" s="34">
        <f>'[2]2026年度男装数据汇总分析--俄罗斯'!O161</f>
        <v>0</v>
      </c>
    </row>
    <row r="162" spans="1:15">
      <c r="A162" s="34">
        <f>'[2]2026年度男装数据汇总分析--俄罗斯'!A162</f>
        <v>0</v>
      </c>
      <c r="B162" s="34">
        <f>'[2]2026年度男装数据汇总分析--俄罗斯'!B162</f>
        <v>0</v>
      </c>
      <c r="C162" s="34">
        <f>'[2]2026年度男装数据汇总分析--俄罗斯'!C162</f>
        <v>0</v>
      </c>
      <c r="D162" s="34">
        <f>'[2]2026年度男装数据汇总分析--俄罗斯'!D162</f>
        <v>0</v>
      </c>
      <c r="E162" s="34">
        <f>'[2]2026年度男装数据汇总分析--俄罗斯'!E162</f>
        <v>0</v>
      </c>
      <c r="F162" s="34">
        <f>'[2]2026年度男装数据汇总分析--俄罗斯'!F162</f>
        <v>0</v>
      </c>
      <c r="G162" s="34">
        <f>'[2]2026年度男装数据汇总分析--俄罗斯'!G162</f>
        <v>0</v>
      </c>
      <c r="H162" s="34">
        <f>'[2]2026年度男装数据汇总分析--俄罗斯'!H162</f>
        <v>0</v>
      </c>
      <c r="I162" s="34">
        <f>'[2]2026年度男装数据汇总分析--俄罗斯'!I162</f>
        <v>0</v>
      </c>
      <c r="J162" s="34">
        <f>'[2]2026年度男装数据汇总分析--俄罗斯'!J162</f>
        <v>0</v>
      </c>
      <c r="K162" s="34">
        <f>'[2]2026年度男装数据汇总分析--俄罗斯'!K162</f>
        <v>0</v>
      </c>
      <c r="L162" s="34">
        <f>'[2]2026年度男装数据汇总分析--俄罗斯'!L162</f>
        <v>0</v>
      </c>
      <c r="M162" s="34">
        <f>'[2]2026年度男装数据汇总分析--俄罗斯'!M162</f>
        <v>0</v>
      </c>
      <c r="N162" s="34">
        <f>'[2]2026年度男装数据汇总分析--俄罗斯'!N162</f>
        <v>0</v>
      </c>
      <c r="O162" s="34">
        <f>'[2]2026年度男装数据汇总分析--俄罗斯'!O162</f>
        <v>0</v>
      </c>
    </row>
    <row r="335" s="34" customFormat="1" spans="1:13">
      <c r="A335" s="37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57"/>
    </row>
    <row r="336" s="34" customFormat="1" spans="1:13">
      <c r="A336" s="39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58"/>
    </row>
    <row r="337" s="34" customFormat="1" spans="1:13">
      <c r="A337" s="41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59"/>
    </row>
    <row r="338" s="34" customFormat="1" spans="1:13">
      <c r="A338" s="43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60"/>
    </row>
    <row r="339" s="34" customFormat="1" spans="1:13">
      <c r="A339" s="43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60"/>
    </row>
    <row r="340" s="34" customFormat="1" spans="1:13">
      <c r="A340" s="43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60"/>
    </row>
    <row r="341" s="34" customFormat="1" spans="1:13">
      <c r="A341" s="43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60"/>
    </row>
    <row r="342" s="34" customFormat="1" spans="1:13">
      <c r="A342" s="43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60"/>
    </row>
    <row r="343" s="34" customFormat="1" spans="1:13">
      <c r="A343" s="39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58"/>
    </row>
    <row r="344" s="34" customFormat="1" spans="1:13">
      <c r="A344" s="41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59"/>
    </row>
    <row r="345" s="34" customFormat="1" spans="1:13">
      <c r="A345" s="43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60"/>
    </row>
    <row r="346" s="34" customFormat="1" spans="1:13">
      <c r="A346" s="43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60"/>
    </row>
    <row r="347" s="34" customFormat="1" spans="1:13">
      <c r="A347" s="43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60"/>
    </row>
    <row r="348" s="34" customFormat="1" spans="1:13">
      <c r="A348" s="43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60"/>
    </row>
    <row r="349" s="34" customFormat="1" spans="1:13">
      <c r="A349" s="43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60"/>
    </row>
    <row r="350" s="34" customFormat="1" spans="1:13">
      <c r="A350" s="43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60"/>
    </row>
    <row r="351" s="34" customFormat="1" spans="1:13">
      <c r="A351" s="43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60"/>
    </row>
    <row r="352" s="34" customFormat="1" spans="1:13">
      <c r="A352" s="45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61"/>
    </row>
    <row r="353" s="34" customFormat="1" spans="1:13">
      <c r="A353" s="47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62"/>
    </row>
    <row r="354" s="34" customFormat="1" spans="1:13">
      <c r="A354" s="43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</row>
    <row r="355" s="34" customFormat="1" spans="1:13">
      <c r="A355" s="43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60"/>
    </row>
    <row r="356" s="34" customFormat="1" spans="1:13">
      <c r="A356" s="49"/>
      <c r="B356" s="50"/>
      <c r="C356" s="51"/>
      <c r="D356" s="51"/>
      <c r="E356" s="51"/>
      <c r="F356" s="50"/>
      <c r="G356" s="50"/>
      <c r="H356" s="50"/>
      <c r="I356" s="51"/>
      <c r="J356" s="51"/>
      <c r="K356" s="51"/>
      <c r="L356" s="50"/>
      <c r="M356" s="63"/>
    </row>
    <row r="357" s="34" customFormat="1" spans="1:13">
      <c r="A357" s="39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58"/>
    </row>
    <row r="358" s="34" customFormat="1" spans="1:13">
      <c r="A358" s="41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59"/>
    </row>
    <row r="359" s="34" customFormat="1" spans="1:13">
      <c r="A359" s="43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</row>
    <row r="360" s="34" customFormat="1" spans="1:13">
      <c r="A360" s="43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60"/>
    </row>
    <row r="361" s="34" customFormat="1" spans="1:13">
      <c r="A361" s="43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</row>
    <row r="362" s="34" customFormat="1" spans="1:13">
      <c r="A362" s="43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</row>
    <row r="363" s="34" customFormat="1" spans="1:13">
      <c r="A363" s="49"/>
      <c r="B363" s="53"/>
      <c r="C363" s="54"/>
      <c r="D363" s="54"/>
      <c r="E363" s="53"/>
      <c r="F363" s="54"/>
      <c r="G363" s="54"/>
      <c r="H363" s="53"/>
      <c r="I363" s="54"/>
      <c r="J363" s="54"/>
      <c r="K363" s="53"/>
      <c r="L363" s="54"/>
      <c r="M363" s="54"/>
    </row>
    <row r="364" s="34" customFormat="1" ht="16.35" spans="1:13">
      <c r="A364" s="55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</row>
  </sheetData>
  <mergeCells count="60">
    <mergeCell ref="A1:O1"/>
    <mergeCell ref="C3:E3"/>
    <mergeCell ref="F3:H3"/>
    <mergeCell ref="I3:K3"/>
    <mergeCell ref="L3:N3"/>
    <mergeCell ref="C4:E4"/>
    <mergeCell ref="F4:H4"/>
    <mergeCell ref="I4:K4"/>
    <mergeCell ref="L4:N4"/>
    <mergeCell ref="C5:E5"/>
    <mergeCell ref="F5:H5"/>
    <mergeCell ref="I5:K5"/>
    <mergeCell ref="L5:N5"/>
    <mergeCell ref="B342:D342"/>
    <mergeCell ref="E342:G342"/>
    <mergeCell ref="H342:J342"/>
    <mergeCell ref="K342:M342"/>
    <mergeCell ref="B351:D351"/>
    <mergeCell ref="E351:G351"/>
    <mergeCell ref="H351:J351"/>
    <mergeCell ref="K351:M351"/>
    <mergeCell ref="B360:D360"/>
    <mergeCell ref="E360:G360"/>
    <mergeCell ref="H360:J360"/>
    <mergeCell ref="K360:M360"/>
    <mergeCell ref="B361:D361"/>
    <mergeCell ref="E361:G361"/>
    <mergeCell ref="H361:J361"/>
    <mergeCell ref="K361:M361"/>
    <mergeCell ref="B362:D362"/>
    <mergeCell ref="E362:G362"/>
    <mergeCell ref="H362:J362"/>
    <mergeCell ref="K362:M362"/>
    <mergeCell ref="B363:D363"/>
    <mergeCell ref="E363:G363"/>
    <mergeCell ref="H363:J363"/>
    <mergeCell ref="K363:M363"/>
    <mergeCell ref="B364:D364"/>
    <mergeCell ref="E364:G364"/>
    <mergeCell ref="H364:J364"/>
    <mergeCell ref="K364:M364"/>
    <mergeCell ref="A2:A5"/>
    <mergeCell ref="A6:A29"/>
    <mergeCell ref="A30:A37"/>
    <mergeCell ref="A38:A45"/>
    <mergeCell ref="A46:A53"/>
    <mergeCell ref="A54:A61"/>
    <mergeCell ref="A62:A69"/>
    <mergeCell ref="A70:A77"/>
    <mergeCell ref="A78:A85"/>
    <mergeCell ref="A86:A93"/>
    <mergeCell ref="A94:A101"/>
    <mergeCell ref="A102:A109"/>
    <mergeCell ref="A110:A117"/>
    <mergeCell ref="A118:A125"/>
    <mergeCell ref="O2:O5"/>
    <mergeCell ref="A336:M337"/>
    <mergeCell ref="A343:M344"/>
    <mergeCell ref="A352:M353"/>
    <mergeCell ref="A357:M358"/>
  </mergeCells>
  <conditionalFormatting sqref="B7:O7">
    <cfRule type="cellIs" dxfId="0" priority="88" operator="greaterThan">
      <formula>0</formula>
    </cfRule>
  </conditionalFormatting>
  <conditionalFormatting sqref="C7:O7">
    <cfRule type="cellIs" dxfId="1" priority="82" operator="greaterThan">
      <formula>0</formula>
    </cfRule>
    <cfRule type="cellIs" dxfId="2" priority="81" operator="lessThan">
      <formula>0</formula>
    </cfRule>
  </conditionalFormatting>
  <conditionalFormatting sqref="C8:O8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{575977c0-485b-49ed-af65-530757f95155}</x14:id>
        </ext>
      </extLst>
    </cfRule>
  </conditionalFormatting>
  <conditionalFormatting sqref="C12:O12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{7b909218-2030-473f-aa31-6d49ebe4e79a}</x14:id>
        </ext>
      </extLst>
    </cfRule>
  </conditionalFormatting>
  <conditionalFormatting sqref="C16:O16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{4618eebc-353f-4ed9-abe1-c24fa245c72b}</x14:id>
        </ext>
      </extLst>
    </cfRule>
  </conditionalFormatting>
  <conditionalFormatting sqref="C20:O20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{6421b208-6385-4726-b6ac-79d82c1447ad}</x14:id>
        </ext>
      </extLst>
    </cfRule>
  </conditionalFormatting>
  <conditionalFormatting sqref="C24:O24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{e63af4e6-7a95-4190-aaf4-abf480440b70}</x14:id>
        </ext>
      </extLst>
    </cfRule>
  </conditionalFormatting>
  <conditionalFormatting sqref="O26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{75dc9f1e-591f-47ae-ba4f-55a7e68fe763}</x14:id>
        </ext>
      </extLst>
    </cfRule>
    <cfRule type="cellIs" dxfId="1" priority="7" operator="greaterThan">
      <formula>0</formula>
    </cfRule>
    <cfRule type="cellIs" dxfId="2" priority="6" operator="lessThan">
      <formula>0</formula>
    </cfRule>
  </conditionalFormatting>
  <conditionalFormatting sqref="C27:O27">
    <cfRule type="dataBar" priority="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{2b2a85c7-e2c5-4257-a2c1-13b777a27cf6}</x14:id>
        </ext>
      </extLst>
    </cfRule>
  </conditionalFormatting>
  <conditionalFormatting sqref="C36:O36">
    <cfRule type="dataBar" priority="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{4ff3460f-abba-492b-86cc-b77d39e2945b}</x14:id>
        </ext>
      </extLst>
    </cfRule>
  </conditionalFormatting>
  <conditionalFormatting sqref="C44:O44">
    <cfRule type="dataBar" priority="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{11017276-b99e-441e-9728-ce3f556f6d71}</x14:id>
        </ext>
      </extLst>
    </cfRule>
  </conditionalFormatting>
  <conditionalFormatting sqref="C52:O52">
    <cfRule type="dataBar" priority="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{21f93099-c44f-4fa1-9a46-5a09043e9e7a}</x14:id>
        </ext>
      </extLst>
    </cfRule>
  </conditionalFormatting>
  <conditionalFormatting sqref="C60:O60">
    <cfRule type="dataBar" priority="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{31ae1370-eb8a-4aae-8343-29cff01f0c5e}</x14:id>
        </ext>
      </extLst>
    </cfRule>
  </conditionalFormatting>
  <conditionalFormatting sqref="C124:O124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{f578e8ee-44e4-4878-a65b-32200dd9702d}</x14:id>
        </ext>
      </extLst>
    </cfRule>
  </conditionalFormatting>
  <conditionalFormatting sqref="B26:O26 B27 D27:O27 C28:O28">
    <cfRule type="cellIs" dxfId="2" priority="86" operator="greaterThan">
      <formula>0.68</formula>
    </cfRule>
    <cfRule type="cellIs" dxfId="1" priority="85" operator="lessThan">
      <formula>0.68</formula>
    </cfRule>
  </conditionalFormatting>
  <conditionalFormatting sqref="C26:N26 D27:N27 C28:O28">
    <cfRule type="dataBar" priority="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{7a375b69-fd58-4615-a4be-d9d3a84572d0}</x14:id>
        </ext>
      </extLst>
    </cfRule>
  </conditionalFormatting>
  <conditionalFormatting sqref="C27:O27 B28">
    <cfRule type="cellIs" dxfId="1" priority="84" operator="greaterThan">
      <formula>0</formula>
    </cfRule>
    <cfRule type="cellIs" dxfId="2" priority="83" operator="lessThan">
      <formula>0</formula>
    </cfRule>
  </conditionalFormatting>
  <conditionalFormatting sqref="B35:O35 B36 D36:O36 C37:O37">
    <cfRule type="cellIs" dxfId="2" priority="78" operator="greaterThan">
      <formula>0.68</formula>
    </cfRule>
    <cfRule type="cellIs" dxfId="1" priority="77" operator="lessThan">
      <formula>0.68</formula>
    </cfRule>
  </conditionalFormatting>
  <conditionalFormatting sqref="C35:N35 D36:N36 C37:O37">
    <cfRule type="dataBar" priority="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{ded7706f-9bb2-43f5-8c94-62268343c566}</x14:id>
        </ext>
      </extLst>
    </cfRule>
  </conditionalFormatting>
  <conditionalFormatting sqref="C36:O36 B37 O37">
    <cfRule type="cellIs" dxfId="1" priority="76" operator="greaterThan">
      <formula>0</formula>
    </cfRule>
    <cfRule type="cellIs" dxfId="2" priority="75" operator="lessThan">
      <formula>0</formula>
    </cfRule>
  </conditionalFormatting>
  <conditionalFormatting sqref="B43:O43 B44 D44:O44 C45:O45">
    <cfRule type="cellIs" dxfId="2" priority="72" operator="greaterThan">
      <formula>0.68</formula>
    </cfRule>
    <cfRule type="cellIs" dxfId="1" priority="71" operator="lessThan">
      <formula>0.68</formula>
    </cfRule>
  </conditionalFormatting>
  <conditionalFormatting sqref="C43:N43 D44:N44 C45:O45">
    <cfRule type="dataBar" priority="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{61b47874-8657-4b75-b9a0-5468e8c26b02}</x14:id>
        </ext>
      </extLst>
    </cfRule>
  </conditionalFormatting>
  <conditionalFormatting sqref="C44:O44 B45">
    <cfRule type="cellIs" dxfId="1" priority="70" operator="greaterThan">
      <formula>0</formula>
    </cfRule>
    <cfRule type="cellIs" dxfId="2" priority="69" operator="lessThan">
      <formula>0</formula>
    </cfRule>
  </conditionalFormatting>
  <conditionalFormatting sqref="B51:O51 B52 D52:O52 C53:O53">
    <cfRule type="cellIs" dxfId="2" priority="66" operator="greaterThan">
      <formula>0.68</formula>
    </cfRule>
    <cfRule type="cellIs" dxfId="1" priority="65" operator="lessThan">
      <formula>0.68</formula>
    </cfRule>
  </conditionalFormatting>
  <conditionalFormatting sqref="C51:N51 D52:N52 C53:O53">
    <cfRule type="dataBar" priority="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{f2c10536-3fc4-4d25-86e3-9aca11bbdf66}</x14:id>
        </ext>
      </extLst>
    </cfRule>
  </conditionalFormatting>
  <conditionalFormatting sqref="C52:O52 B53">
    <cfRule type="cellIs" dxfId="1" priority="64" operator="greaterThan">
      <formula>0</formula>
    </cfRule>
    <cfRule type="cellIs" dxfId="2" priority="63" operator="lessThan">
      <formula>0</formula>
    </cfRule>
  </conditionalFormatting>
  <conditionalFormatting sqref="B59:O59 B60 D60:O60 C61:O61">
    <cfRule type="cellIs" dxfId="2" priority="60" operator="greaterThan">
      <formula>0.68</formula>
    </cfRule>
    <cfRule type="cellIs" dxfId="1" priority="59" operator="lessThan">
      <formula>0.68</formula>
    </cfRule>
  </conditionalFormatting>
  <conditionalFormatting sqref="C59:N59 D60:N60 C61:O61">
    <cfRule type="dataBar" priority="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{d6f0f821-2a6c-44f7-b01a-c88294649a9d}</x14:id>
        </ext>
      </extLst>
    </cfRule>
  </conditionalFormatting>
  <conditionalFormatting sqref="C60:O60 B61">
    <cfRule type="cellIs" dxfId="1" priority="58" operator="greaterThan">
      <formula>0</formula>
    </cfRule>
    <cfRule type="cellIs" dxfId="2" priority="57" operator="lessThan">
      <formula>0</formula>
    </cfRule>
  </conditionalFormatting>
  <conditionalFormatting sqref="B67:O67 B68 D68:O68 C69:O69">
    <cfRule type="cellIs" dxfId="2" priority="54" operator="greaterThan">
      <formula>0.68</formula>
    </cfRule>
    <cfRule type="cellIs" dxfId="1" priority="53" operator="lessThan">
      <formula>0.68</formula>
    </cfRule>
  </conditionalFormatting>
  <conditionalFormatting sqref="C67:N67 D68:N68 C69:O69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{a12c737a-761f-4591-b8c0-fe6de653feed}</x14:id>
        </ext>
      </extLst>
    </cfRule>
  </conditionalFormatting>
  <conditionalFormatting sqref="C68:O68 B69 D69:O69">
    <cfRule type="cellIs" dxfId="1" priority="52" operator="greaterThan">
      <formula>0</formula>
    </cfRule>
    <cfRule type="cellIs" dxfId="2" priority="51" operator="lessThan">
      <formula>0</formula>
    </cfRule>
  </conditionalFormatting>
  <conditionalFormatting sqref="C68:O68 D69:N69">
    <cfRule type="dataBar" priority="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{052bccaf-b6f0-4c01-84f4-52e6cf72a0c6}</x14:id>
        </ext>
      </extLst>
    </cfRule>
  </conditionalFormatting>
  <conditionalFormatting sqref="B75:O75 B76 D76:O76 C77:O77">
    <cfRule type="cellIs" dxfId="2" priority="48" operator="greaterThan">
      <formula>0.68</formula>
    </cfRule>
    <cfRule type="cellIs" dxfId="1" priority="47" operator="lessThan">
      <formula>0.68</formula>
    </cfRule>
  </conditionalFormatting>
  <conditionalFormatting sqref="C75:N75 D76:N76 C77:O77">
    <cfRule type="dataBar" priority="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{f8da0ae5-4a5f-4f39-934a-31fb524f29d4}</x14:id>
        </ext>
      </extLst>
    </cfRule>
  </conditionalFormatting>
  <conditionalFormatting sqref="C76:O76 B77 D77:O77">
    <cfRule type="cellIs" dxfId="1" priority="46" operator="greaterThan">
      <formula>0</formula>
    </cfRule>
    <cfRule type="cellIs" dxfId="2" priority="45" operator="lessThan">
      <formula>0</formula>
    </cfRule>
  </conditionalFormatting>
  <conditionalFormatting sqref="C76:O76 D77:N77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{df0c6f4f-7271-4f96-bfdd-7f32d00cefea}</x14:id>
        </ext>
      </extLst>
    </cfRule>
  </conditionalFormatting>
  <conditionalFormatting sqref="B83:O83 B84 D84:O84 C85:O85">
    <cfRule type="cellIs" dxfId="2" priority="42" operator="greaterThan">
      <formula>0.68</formula>
    </cfRule>
    <cfRule type="cellIs" dxfId="1" priority="41" operator="lessThan">
      <formula>0.68</formula>
    </cfRule>
  </conditionalFormatting>
  <conditionalFormatting sqref="C83:N83 D84:N84 C85:O85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{16270ad0-f9de-4043-8591-1326c4e53fa6}</x14:id>
        </ext>
      </extLst>
    </cfRule>
  </conditionalFormatting>
  <conditionalFormatting sqref="C84:O84 B85 D85:O85">
    <cfRule type="cellIs" dxfId="1" priority="40" operator="greaterThan">
      <formula>0</formula>
    </cfRule>
    <cfRule type="cellIs" dxfId="2" priority="39" operator="lessThan">
      <formula>0</formula>
    </cfRule>
  </conditionalFormatting>
  <conditionalFormatting sqref="C84:O84 D85:N85">
    <cfRule type="dataBar" priority="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{d6296762-eb1b-41b0-bf39-0e14511668a4}</x14:id>
        </ext>
      </extLst>
    </cfRule>
  </conditionalFormatting>
  <conditionalFormatting sqref="B91:O91 B92 D92:O92 C93:O93">
    <cfRule type="cellIs" dxfId="2" priority="36" operator="greaterThan">
      <formula>0.68</formula>
    </cfRule>
    <cfRule type="cellIs" dxfId="1" priority="35" operator="lessThan">
      <formula>0.68</formula>
    </cfRule>
  </conditionalFormatting>
  <conditionalFormatting sqref="C91:N91 D92:N92 C93:O93">
    <cfRule type="dataBar" priority="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{5ba5dd1f-53a7-4def-9a5e-388622c0b686}</x14:id>
        </ext>
      </extLst>
    </cfRule>
  </conditionalFormatting>
  <conditionalFormatting sqref="C92:O92 B93 D93:O93">
    <cfRule type="cellIs" dxfId="1" priority="34" operator="greaterThan">
      <formula>0</formula>
    </cfRule>
    <cfRule type="cellIs" dxfId="2" priority="33" operator="lessThan">
      <formula>0</formula>
    </cfRule>
  </conditionalFormatting>
  <conditionalFormatting sqref="C92:O92 D93:N93">
    <cfRule type="dataBar" priority="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{7af441b7-8ded-4497-89fc-535c7357a504}</x14:id>
        </ext>
      </extLst>
    </cfRule>
  </conditionalFormatting>
  <conditionalFormatting sqref="B99:O99 B100 D100:O100 C101:O101">
    <cfRule type="cellIs" dxfId="2" priority="30" operator="greaterThan">
      <formula>0.68</formula>
    </cfRule>
    <cfRule type="cellIs" dxfId="1" priority="29" operator="lessThan">
      <formula>0.68</formula>
    </cfRule>
  </conditionalFormatting>
  <conditionalFormatting sqref="C99:N99 D100:N100 C101:O101">
    <cfRule type="dataBar" priority="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{b5bb4aa7-a9a0-443a-8259-afdd6ec89223}</x14:id>
        </ext>
      </extLst>
    </cfRule>
  </conditionalFormatting>
  <conditionalFormatting sqref="C100:O100 B101 D101:O101">
    <cfRule type="cellIs" dxfId="1" priority="28" operator="greaterThan">
      <formula>0</formula>
    </cfRule>
    <cfRule type="cellIs" dxfId="2" priority="27" operator="lessThan">
      <formula>0</formula>
    </cfRule>
  </conditionalFormatting>
  <conditionalFormatting sqref="C100:O100 D101:N101">
    <cfRule type="dataBar" priority="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{f267439b-a7cf-4394-9727-994980329632}</x14:id>
        </ext>
      </extLst>
    </cfRule>
  </conditionalFormatting>
  <conditionalFormatting sqref="B107:O107 B108 D108:O108 C109:O109">
    <cfRule type="cellIs" dxfId="2" priority="24" operator="greaterThan">
      <formula>0.68</formula>
    </cfRule>
    <cfRule type="cellIs" dxfId="1" priority="23" operator="lessThan">
      <formula>0.68</formula>
    </cfRule>
  </conditionalFormatting>
  <conditionalFormatting sqref="C107:N107 D108:N108 C109:O109">
    <cfRule type="dataBar" priority="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{fba51228-c19f-4d39-8a0f-760d59542292}</x14:id>
        </ext>
      </extLst>
    </cfRule>
  </conditionalFormatting>
  <conditionalFormatting sqref="C108:O108 B109 D109:O109">
    <cfRule type="cellIs" dxfId="1" priority="22" operator="greaterThan">
      <formula>0</formula>
    </cfRule>
    <cfRule type="cellIs" dxfId="2" priority="21" operator="lessThan">
      <formula>0</formula>
    </cfRule>
  </conditionalFormatting>
  <conditionalFormatting sqref="C108:O108 D109:N109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{8e762ce6-e593-48cf-8fc1-583b21626a57}</x14:id>
        </ext>
      </extLst>
    </cfRule>
  </conditionalFormatting>
  <conditionalFormatting sqref="B115:O115 B116 D116:O116 C117:O117">
    <cfRule type="cellIs" dxfId="2" priority="18" operator="greaterThan">
      <formula>0.68</formula>
    </cfRule>
    <cfRule type="cellIs" dxfId="1" priority="17" operator="lessThan">
      <formula>0.68</formula>
    </cfRule>
  </conditionalFormatting>
  <conditionalFormatting sqref="C115:N115 D116:N116 C117:O117">
    <cfRule type="dataBar" priority="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{cb77bde3-17ca-46b7-9a72-bec511f0d1c8}</x14:id>
        </ext>
      </extLst>
    </cfRule>
  </conditionalFormatting>
  <conditionalFormatting sqref="C116:O116 B117 D117:O117">
    <cfRule type="cellIs" dxfId="1" priority="16" operator="greaterThan">
      <formula>0</formula>
    </cfRule>
    <cfRule type="cellIs" dxfId="2" priority="15" operator="lessThan">
      <formula>0</formula>
    </cfRule>
  </conditionalFormatting>
  <conditionalFormatting sqref="C116:O116 D117:N117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{6d4131c6-d063-4cc7-82a0-4110884e45f0}</x14:id>
        </ext>
      </extLst>
    </cfRule>
  </conditionalFormatting>
  <conditionalFormatting sqref="B123:O123 B124 D124:O124 C125:O125">
    <cfRule type="cellIs" dxfId="2" priority="12" operator="greaterThan">
      <formula>0.68</formula>
    </cfRule>
    <cfRule type="cellIs" dxfId="1" priority="11" operator="lessThan">
      <formula>0.68</formula>
    </cfRule>
  </conditionalFormatting>
  <conditionalFormatting sqref="C123:N123 D124:N124 C125:O125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{ddf713eb-5328-434b-a440-20a991248afc}</x14:id>
        </ext>
      </extLst>
    </cfRule>
  </conditionalFormatting>
  <conditionalFormatting sqref="C124:O124 B125">
    <cfRule type="cellIs" dxfId="1" priority="10" operator="greaterThan">
      <formula>0</formula>
    </cfRule>
    <cfRule type="cellIs" dxfId="2" priority="9" operator="lessThan">
      <formula>0</formula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5977c0-485b-49ed-af65-530757f951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C8:O8</xm:sqref>
        </x14:conditionalFormatting>
        <x14:conditionalFormatting xmlns:xm="http://schemas.microsoft.com/office/excel/2006/main">
          <x14:cfRule type="dataBar" id="{7b909218-2030-473f-aa31-6d49ebe4e79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C12:O12</xm:sqref>
        </x14:conditionalFormatting>
        <x14:conditionalFormatting xmlns:xm="http://schemas.microsoft.com/office/excel/2006/main">
          <x14:cfRule type="dataBar" id="{4618eebc-353f-4ed9-abe1-c24fa245c7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C16:O16</xm:sqref>
        </x14:conditionalFormatting>
        <x14:conditionalFormatting xmlns:xm="http://schemas.microsoft.com/office/excel/2006/main">
          <x14:cfRule type="dataBar" id="{6421b208-6385-4726-b6ac-79d82c1447a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C20:O20</xm:sqref>
        </x14:conditionalFormatting>
        <x14:conditionalFormatting xmlns:xm="http://schemas.microsoft.com/office/excel/2006/main">
          <x14:cfRule type="dataBar" id="{e63af4e6-7a95-4190-aaf4-abf480440b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C24:O24</xm:sqref>
        </x14:conditionalFormatting>
        <x14:conditionalFormatting xmlns:xm="http://schemas.microsoft.com/office/excel/2006/main">
          <x14:cfRule type="dataBar" id="{75dc9f1e-591f-47ae-ba4f-55a7e68fe7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2b2a85c7-e2c5-4257-a2c1-13b777a27cf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C27:O27</xm:sqref>
        </x14:conditionalFormatting>
        <x14:conditionalFormatting xmlns:xm="http://schemas.microsoft.com/office/excel/2006/main">
          <x14:cfRule type="dataBar" id="{4ff3460f-abba-492b-86cc-b77d39e2945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C36:O36</xm:sqref>
        </x14:conditionalFormatting>
        <x14:conditionalFormatting xmlns:xm="http://schemas.microsoft.com/office/excel/2006/main">
          <x14:cfRule type="dataBar" id="{11017276-b99e-441e-9728-ce3f556f6d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C44:O44</xm:sqref>
        </x14:conditionalFormatting>
        <x14:conditionalFormatting xmlns:xm="http://schemas.microsoft.com/office/excel/2006/main">
          <x14:cfRule type="dataBar" id="{21f93099-c44f-4fa1-9a46-5a09043e9e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C52:O52</xm:sqref>
        </x14:conditionalFormatting>
        <x14:conditionalFormatting xmlns:xm="http://schemas.microsoft.com/office/excel/2006/main">
          <x14:cfRule type="dataBar" id="{31ae1370-eb8a-4aae-8343-29cff01f0c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C60:O60</xm:sqref>
        </x14:conditionalFormatting>
        <x14:conditionalFormatting xmlns:xm="http://schemas.microsoft.com/office/excel/2006/main">
          <x14:cfRule type="dataBar" id="{f578e8ee-44e4-4878-a65b-32200dd970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C124:O124</xm:sqref>
        </x14:conditionalFormatting>
        <x14:conditionalFormatting xmlns:xm="http://schemas.microsoft.com/office/excel/2006/main">
          <x14:cfRule type="dataBar" id="{7a375b69-fd58-4615-a4be-d9d3a84572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C26:N26 D27:N27 C28:O28</xm:sqref>
        </x14:conditionalFormatting>
        <x14:conditionalFormatting xmlns:xm="http://schemas.microsoft.com/office/excel/2006/main">
          <x14:cfRule type="dataBar" id="{ded7706f-9bb2-43f5-8c94-62268343c56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C35:N35 D36:N36 C37:O37</xm:sqref>
        </x14:conditionalFormatting>
        <x14:conditionalFormatting xmlns:xm="http://schemas.microsoft.com/office/excel/2006/main">
          <x14:cfRule type="dataBar" id="{61b47874-8657-4b75-b9a0-5468e8c26b0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C43:N43 D44:N44 C45:O45</xm:sqref>
        </x14:conditionalFormatting>
        <x14:conditionalFormatting xmlns:xm="http://schemas.microsoft.com/office/excel/2006/main">
          <x14:cfRule type="dataBar" id="{f2c10536-3fc4-4d25-86e3-9aca11bbdf6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C51:N51 D52:N52 C53:O53</xm:sqref>
        </x14:conditionalFormatting>
        <x14:conditionalFormatting xmlns:xm="http://schemas.microsoft.com/office/excel/2006/main">
          <x14:cfRule type="dataBar" id="{d6f0f821-2a6c-44f7-b01a-c88294649a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C59:N59 D60:N60 C61:O61</xm:sqref>
        </x14:conditionalFormatting>
        <x14:conditionalFormatting xmlns:xm="http://schemas.microsoft.com/office/excel/2006/main">
          <x14:cfRule type="dataBar" id="{a12c737a-761f-4591-b8c0-fe6de653fe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C67:N67 D68:N68 C69:O69</xm:sqref>
        </x14:conditionalFormatting>
        <x14:conditionalFormatting xmlns:xm="http://schemas.microsoft.com/office/excel/2006/main">
          <x14:cfRule type="dataBar" id="{052bccaf-b6f0-4c01-84f4-52e6cf72a0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C68:O68 D69:N69</xm:sqref>
        </x14:conditionalFormatting>
        <x14:conditionalFormatting xmlns:xm="http://schemas.microsoft.com/office/excel/2006/main">
          <x14:cfRule type="dataBar" id="{f8da0ae5-4a5f-4f39-934a-31fb524f29d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C75:N75 D76:N76 C77:O77</xm:sqref>
        </x14:conditionalFormatting>
        <x14:conditionalFormatting xmlns:xm="http://schemas.microsoft.com/office/excel/2006/main">
          <x14:cfRule type="dataBar" id="{df0c6f4f-7271-4f96-bfdd-7f32d00cefe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C76:O76 D77:N77</xm:sqref>
        </x14:conditionalFormatting>
        <x14:conditionalFormatting xmlns:xm="http://schemas.microsoft.com/office/excel/2006/main">
          <x14:cfRule type="dataBar" id="{16270ad0-f9de-4043-8591-1326c4e53fa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C83:N83 D84:N84 C85:O85</xm:sqref>
        </x14:conditionalFormatting>
        <x14:conditionalFormatting xmlns:xm="http://schemas.microsoft.com/office/excel/2006/main">
          <x14:cfRule type="dataBar" id="{d6296762-eb1b-41b0-bf39-0e14511668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C84:O84 D85:N85</xm:sqref>
        </x14:conditionalFormatting>
        <x14:conditionalFormatting xmlns:xm="http://schemas.microsoft.com/office/excel/2006/main">
          <x14:cfRule type="dataBar" id="{5ba5dd1f-53a7-4def-9a5e-388622c0b68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C91:N91 D92:N92 C93:O93</xm:sqref>
        </x14:conditionalFormatting>
        <x14:conditionalFormatting xmlns:xm="http://schemas.microsoft.com/office/excel/2006/main">
          <x14:cfRule type="dataBar" id="{7af441b7-8ded-4497-89fc-535c7357a5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C92:O92 D93:N93</xm:sqref>
        </x14:conditionalFormatting>
        <x14:conditionalFormatting xmlns:xm="http://schemas.microsoft.com/office/excel/2006/main">
          <x14:cfRule type="dataBar" id="{b5bb4aa7-a9a0-443a-8259-afdd6ec892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C99:N99 D100:N100 C101:O101</xm:sqref>
        </x14:conditionalFormatting>
        <x14:conditionalFormatting xmlns:xm="http://schemas.microsoft.com/office/excel/2006/main">
          <x14:cfRule type="dataBar" id="{f267439b-a7cf-4394-9727-9949803296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C100:O100 D101:N101</xm:sqref>
        </x14:conditionalFormatting>
        <x14:conditionalFormatting xmlns:xm="http://schemas.microsoft.com/office/excel/2006/main">
          <x14:cfRule type="dataBar" id="{fba51228-c19f-4d39-8a0f-760d595422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C107:N107 D108:N108 C109:O109</xm:sqref>
        </x14:conditionalFormatting>
        <x14:conditionalFormatting xmlns:xm="http://schemas.microsoft.com/office/excel/2006/main">
          <x14:cfRule type="dataBar" id="{8e762ce6-e593-48cf-8fc1-583b21626a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C108:O108 D109:N109</xm:sqref>
        </x14:conditionalFormatting>
        <x14:conditionalFormatting xmlns:xm="http://schemas.microsoft.com/office/excel/2006/main">
          <x14:cfRule type="dataBar" id="{cb77bde3-17ca-46b7-9a72-bec511f0d1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C115:N115 D116:N116 C117:O117</xm:sqref>
        </x14:conditionalFormatting>
        <x14:conditionalFormatting xmlns:xm="http://schemas.microsoft.com/office/excel/2006/main">
          <x14:cfRule type="dataBar" id="{6d4131c6-d063-4cc7-82a0-4110884e45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C116:O116 D117:N117</xm:sqref>
        </x14:conditionalFormatting>
        <x14:conditionalFormatting xmlns:xm="http://schemas.microsoft.com/office/excel/2006/main">
          <x14:cfRule type="dataBar" id="{ddf713eb-5328-434b-a440-20a991248a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C123:N123 D124:N124 C125:O125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"/>
  <sheetViews>
    <sheetView workbookViewId="0">
      <selection activeCell="H7" sqref="H7"/>
    </sheetView>
  </sheetViews>
  <sheetFormatPr defaultColWidth="8.88888888888889" defaultRowHeight="14.4"/>
  <cols>
    <col min="1" max="1" width="14.1111111111111" customWidth="1"/>
    <col min="2" max="2" width="20.8888888888889" customWidth="1"/>
    <col min="3" max="6" width="15.5555555555556" customWidth="1"/>
    <col min="7" max="13" width="15.1111111111111" customWidth="1"/>
    <col min="14" max="14" width="14.1111111111111" customWidth="1"/>
    <col min="15" max="15" width="18.7777777777778" customWidth="1"/>
  </cols>
  <sheetData>
    <row r="1" ht="15.6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5.6" spans="1:1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25" t="s">
        <v>9</v>
      </c>
      <c r="J2" s="25" t="s">
        <v>10</v>
      </c>
      <c r="K2" s="25" t="s">
        <v>11</v>
      </c>
      <c r="L2" s="26" t="s">
        <v>12</v>
      </c>
      <c r="M2" s="26" t="s">
        <v>13</v>
      </c>
      <c r="N2" s="26" t="s">
        <v>14</v>
      </c>
      <c r="O2" s="1" t="s">
        <v>15</v>
      </c>
    </row>
    <row r="3" ht="15.6" spans="1:15">
      <c r="A3" s="1"/>
      <c r="B3" s="1" t="s">
        <v>16</v>
      </c>
      <c r="C3" s="2" t="s">
        <v>17</v>
      </c>
      <c r="D3" s="2"/>
      <c r="E3" s="2"/>
      <c r="F3" s="3" t="s">
        <v>18</v>
      </c>
      <c r="G3" s="3"/>
      <c r="H3" s="3"/>
      <c r="I3" s="25" t="s">
        <v>19</v>
      </c>
      <c r="J3" s="25"/>
      <c r="K3" s="25"/>
      <c r="L3" s="26" t="s">
        <v>20</v>
      </c>
      <c r="M3" s="26"/>
      <c r="N3" s="26"/>
      <c r="O3" s="1"/>
    </row>
    <row r="4" ht="15.6" spans="1:15">
      <c r="A4" s="1"/>
      <c r="B4" s="1" t="s">
        <v>21</v>
      </c>
      <c r="C4" s="4">
        <f>(C7+D7+E7)</f>
        <v>1841615.38</v>
      </c>
      <c r="D4" s="4"/>
      <c r="E4" s="4"/>
      <c r="F4" s="3">
        <f>(F7+G7+H7)</f>
        <v>1069636.19</v>
      </c>
      <c r="G4" s="3"/>
      <c r="H4" s="3"/>
      <c r="I4" s="25">
        <f>(I7+J7+K7)</f>
        <v>0</v>
      </c>
      <c r="J4" s="25"/>
      <c r="K4" s="25"/>
      <c r="L4" s="26">
        <f>(L7+M7+N7)</f>
        <v>0</v>
      </c>
      <c r="M4" s="26"/>
      <c r="N4" s="26"/>
      <c r="O4" s="1"/>
    </row>
    <row r="5" ht="15.6" spans="1:15">
      <c r="A5" s="5"/>
      <c r="B5" s="5" t="s">
        <v>22</v>
      </c>
      <c r="C5" s="6">
        <f>(C7+D7+E7)/(C6+D6+E6)</f>
        <v>0.815797544649094</v>
      </c>
      <c r="D5" s="6"/>
      <c r="E5" s="6"/>
      <c r="F5" s="7">
        <f>(F7+G7+H7)/(F6+G6+H6)</f>
        <v>0.532870146140822</v>
      </c>
      <c r="G5" s="7"/>
      <c r="H5" s="7"/>
      <c r="I5" s="27">
        <f>(I7+J7+K7)/(I6+J6+K6)</f>
        <v>0</v>
      </c>
      <c r="J5" s="27"/>
      <c r="K5" s="27"/>
      <c r="L5" s="28">
        <f>(L7+M7+N7)/(L6+M6+N6)</f>
        <v>0</v>
      </c>
      <c r="M5" s="28"/>
      <c r="N5" s="28"/>
      <c r="O5" s="5"/>
    </row>
    <row r="6" ht="31.2" spans="1:15">
      <c r="A6" s="8" t="s">
        <v>23</v>
      </c>
      <c r="B6" s="9" t="s">
        <v>24</v>
      </c>
      <c r="C6" s="10">
        <f>[3]总目标!B18</f>
        <v>622242.554098361</v>
      </c>
      <c r="D6" s="10">
        <f>[3]总目标!C18</f>
        <v>926202.855737705</v>
      </c>
      <c r="E6" s="10">
        <f>[3]总目标!D18</f>
        <v>708996.270491803</v>
      </c>
      <c r="F6" s="10">
        <f>[3]总目标!E18</f>
        <v>720242.50204918</v>
      </c>
      <c r="G6" s="10">
        <f>[3]总目标!F18</f>
        <v>690073.450819672</v>
      </c>
      <c r="H6" s="10">
        <f>[3]总目标!G18</f>
        <v>596995.204918033</v>
      </c>
      <c r="I6" s="10">
        <f>[3]总目标!H18</f>
        <v>773183.927254098</v>
      </c>
      <c r="J6" s="10">
        <f>[3]总目标!I18</f>
        <v>743318.084016393</v>
      </c>
      <c r="K6" s="10">
        <f>[3]总目标!J18</f>
        <v>721062.795081967</v>
      </c>
      <c r="L6" s="10">
        <f>[3]总目标!K18</f>
        <v>697802.704918033</v>
      </c>
      <c r="M6" s="10">
        <f>[3]总目标!L18</f>
        <v>721062.795081967</v>
      </c>
      <c r="N6" s="10">
        <f>[3]总目标!M18</f>
        <v>471239.131147541</v>
      </c>
      <c r="O6" s="29">
        <f>SUM(C6:N6)</f>
        <v>8392422.27561475</v>
      </c>
    </row>
    <row r="7" ht="15.6" spans="1:15">
      <c r="A7" s="11"/>
      <c r="B7" s="12" t="s">
        <v>25</v>
      </c>
      <c r="C7" s="13">
        <f>[3]总目标!B19+[3]总目标!B20+[3]总目标!B21+[3]总目标!B22+[3]总目标!B23</f>
        <v>0</v>
      </c>
      <c r="D7" s="13">
        <f>[3]总目标!C19+[3]总目标!C20+[3]总目标!C21+[3]总目标!C22+[3]总目标!C23</f>
        <v>1166041.2</v>
      </c>
      <c r="E7" s="13">
        <f>[3]总目标!D19+[3]总目标!D20+[3]总目标!D21+[3]总目标!D22+[3]总目标!D23</f>
        <v>675574.18</v>
      </c>
      <c r="F7" s="13">
        <f>[3]总目标!E19+[3]总目标!E20+[3]总目标!E21+[3]总目标!E22+[3]总目标!E23</f>
        <v>916564.03</v>
      </c>
      <c r="G7" s="13">
        <f>[3]总目标!F19+[3]总目标!F20+[3]总目标!F21+[3]总目标!F22+[3]总目标!F23</f>
        <v>153072.16</v>
      </c>
      <c r="H7" s="13">
        <f>[3]总目标!G19+[3]总目标!G20+[3]总目标!G21+[3]总目标!G22+[3]总目标!G23</f>
        <v>0</v>
      </c>
      <c r="I7" s="13">
        <f>[3]总目标!H19+[3]总目标!H20+[3]总目标!H21+[3]总目标!H22+[3]总目标!H23</f>
        <v>0</v>
      </c>
      <c r="J7" s="13">
        <f>[3]总目标!I19+[3]总目标!I20+[3]总目标!I21+[3]总目标!I22+[3]总目标!I23</f>
        <v>0</v>
      </c>
      <c r="K7" s="13">
        <f>[3]总目标!J19+[3]总目标!J20+[3]总目标!J21+[3]总目标!J22+[3]总目标!J23</f>
        <v>0</v>
      </c>
      <c r="L7" s="13">
        <f>[3]总目标!K19+[3]总目标!K20+[3]总目标!K21+[3]总目标!K22+[3]总目标!K23</f>
        <v>0</v>
      </c>
      <c r="M7" s="13">
        <f>[3]总目标!L19+[3]总目标!L20+[3]总目标!L21+[3]总目标!L22+[3]总目标!L23</f>
        <v>0</v>
      </c>
      <c r="N7" s="13">
        <f>[3]总目标!M19+[3]总目标!M20+[3]总目标!M21+[3]总目标!M22+[3]总目标!M23</f>
        <v>0</v>
      </c>
      <c r="O7" s="13">
        <f>SUM(C7:N7)</f>
        <v>2911251.57</v>
      </c>
    </row>
    <row r="8" ht="15.6" spans="1:15">
      <c r="A8" s="11"/>
      <c r="B8" s="1" t="s">
        <v>26</v>
      </c>
      <c r="C8" s="14">
        <f>C7/C6</f>
        <v>0</v>
      </c>
      <c r="D8" s="14">
        <f t="shared" ref="D8:O8" si="0">D7/D6</f>
        <v>1.25894796455931</v>
      </c>
      <c r="E8" s="14">
        <f t="shared" si="0"/>
        <v>0.952859991113043</v>
      </c>
      <c r="F8" s="14">
        <f t="shared" si="0"/>
        <v>1.27257698260275</v>
      </c>
      <c r="G8" s="14">
        <f t="shared" si="0"/>
        <v>0.221820097292803</v>
      </c>
      <c r="H8" s="14">
        <f t="shared" si="0"/>
        <v>0</v>
      </c>
      <c r="I8" s="14">
        <f t="shared" si="0"/>
        <v>0</v>
      </c>
      <c r="J8" s="14">
        <f t="shared" si="0"/>
        <v>0</v>
      </c>
      <c r="K8" s="14">
        <f t="shared" si="0"/>
        <v>0</v>
      </c>
      <c r="L8" s="14">
        <f t="shared" si="0"/>
        <v>0</v>
      </c>
      <c r="M8" s="14">
        <f t="shared" si="0"/>
        <v>0</v>
      </c>
      <c r="N8" s="14">
        <f t="shared" si="0"/>
        <v>0</v>
      </c>
      <c r="O8" s="14">
        <f t="shared" si="0"/>
        <v>0.346890501263147</v>
      </c>
    </row>
    <row r="9" ht="15.6" spans="1:15">
      <c r="A9" s="15"/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30"/>
    </row>
    <row r="10" ht="15.6" spans="1:15">
      <c r="A10" s="11"/>
      <c r="B10" s="1" t="s">
        <v>27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31"/>
    </row>
    <row r="11" ht="15.6" spans="1:15">
      <c r="A11" s="11"/>
      <c r="B11" s="12" t="s">
        <v>28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6" spans="1:15">
      <c r="A12" s="11"/>
      <c r="B12" s="1" t="s">
        <v>29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6" spans="1:15">
      <c r="A13" s="11"/>
      <c r="B13" s="16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30"/>
    </row>
    <row r="14" ht="15.6" spans="1:15">
      <c r="A14" s="11"/>
      <c r="B14" s="1" t="s">
        <v>30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32"/>
    </row>
    <row r="15" ht="15.6" spans="1:15">
      <c r="A15" s="11"/>
      <c r="B15" s="12" t="s">
        <v>31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6" spans="1:15">
      <c r="A16" s="11"/>
      <c r="B16" s="1" t="s">
        <v>32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6" spans="1:15">
      <c r="A17" s="11"/>
      <c r="B17" s="16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30"/>
    </row>
    <row r="18" ht="15.6" spans="1:15">
      <c r="A18" s="19"/>
      <c r="B18" s="20" t="s">
        <v>33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33"/>
    </row>
    <row r="19" ht="15.6" spans="1:15">
      <c r="A19" s="19"/>
      <c r="B19" s="21" t="s">
        <v>34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</row>
    <row r="20" ht="15.6" spans="1:15">
      <c r="A20" s="11"/>
      <c r="B20" s="1" t="s">
        <v>35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6" spans="1:15">
      <c r="A21" s="11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30"/>
    </row>
    <row r="22" ht="15.6" spans="1:15">
      <c r="A22" s="11"/>
      <c r="B22" s="1" t="s">
        <v>36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9"/>
    </row>
    <row r="23" ht="15.6" spans="1:15">
      <c r="A23" s="11"/>
      <c r="B23" s="12" t="s">
        <v>37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13"/>
    </row>
    <row r="24" ht="15.6" spans="1:15">
      <c r="A24" s="11"/>
      <c r="B24" s="1" t="s">
        <v>38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6" spans="1:15">
      <c r="A25" s="11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30"/>
    </row>
    <row r="26" ht="15.6" spans="1:15">
      <c r="A26" s="11"/>
      <c r="B26" s="1" t="s">
        <v>39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6" spans="1:15">
      <c r="A27" s="11"/>
      <c r="B27" s="1" t="s">
        <v>40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ht="15.6" spans="1:15">
      <c r="A28" s="11"/>
      <c r="B28" s="1" t="s">
        <v>41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ht="15.6" spans="1:15">
      <c r="A29" s="24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30"/>
    </row>
  </sheetData>
  <mergeCells count="16">
    <mergeCell ref="A1:O1"/>
    <mergeCell ref="C3:E3"/>
    <mergeCell ref="F3:H3"/>
    <mergeCell ref="I3:K3"/>
    <mergeCell ref="L3:N3"/>
    <mergeCell ref="C4:E4"/>
    <mergeCell ref="F4:H4"/>
    <mergeCell ref="I4:K4"/>
    <mergeCell ref="L4:N4"/>
    <mergeCell ref="C5:E5"/>
    <mergeCell ref="F5:H5"/>
    <mergeCell ref="I5:K5"/>
    <mergeCell ref="L5:N5"/>
    <mergeCell ref="A2:A5"/>
    <mergeCell ref="A6:A29"/>
    <mergeCell ref="O2:O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"/>
  <sheetViews>
    <sheetView tabSelected="1" workbookViewId="0">
      <selection activeCell="H7" sqref="H7"/>
    </sheetView>
  </sheetViews>
  <sheetFormatPr defaultColWidth="8.88888888888889" defaultRowHeight="14.4"/>
  <cols>
    <col min="1" max="1" width="14.1111111111111" customWidth="1"/>
    <col min="2" max="2" width="20.8888888888889" customWidth="1"/>
    <col min="3" max="3" width="12.2222222222222" customWidth="1"/>
    <col min="4" max="4" width="17.4444444444444" customWidth="1"/>
    <col min="5" max="7" width="15.5555555555556" customWidth="1"/>
    <col min="8" max="14" width="12.2222222222222" customWidth="1"/>
    <col min="15" max="15" width="17.4444444444444" customWidth="1"/>
  </cols>
  <sheetData>
    <row r="1" ht="15.6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5.6" spans="1:1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25" t="s">
        <v>9</v>
      </c>
      <c r="J2" s="25" t="s">
        <v>10</v>
      </c>
      <c r="K2" s="25" t="s">
        <v>11</v>
      </c>
      <c r="L2" s="26" t="s">
        <v>12</v>
      </c>
      <c r="M2" s="26" t="s">
        <v>13</v>
      </c>
      <c r="N2" s="26" t="s">
        <v>14</v>
      </c>
      <c r="O2" s="1" t="s">
        <v>15</v>
      </c>
    </row>
    <row r="3" ht="15.6" spans="1:15">
      <c r="A3" s="1"/>
      <c r="B3" s="1" t="s">
        <v>16</v>
      </c>
      <c r="C3" s="2" t="s">
        <v>17</v>
      </c>
      <c r="D3" s="2"/>
      <c r="E3" s="2"/>
      <c r="F3" s="3" t="s">
        <v>18</v>
      </c>
      <c r="G3" s="3"/>
      <c r="H3" s="3"/>
      <c r="I3" s="25" t="s">
        <v>19</v>
      </c>
      <c r="J3" s="25"/>
      <c r="K3" s="25"/>
      <c r="L3" s="26" t="s">
        <v>20</v>
      </c>
      <c r="M3" s="26"/>
      <c r="N3" s="26"/>
      <c r="O3" s="1"/>
    </row>
    <row r="4" ht="15.6" spans="1:15">
      <c r="A4" s="1"/>
      <c r="B4" s="1" t="s">
        <v>21</v>
      </c>
      <c r="C4" s="4">
        <f>(C7+D7+E7)</f>
        <v>0</v>
      </c>
      <c r="D4" s="4"/>
      <c r="E4" s="4"/>
      <c r="F4" s="3">
        <f>(F7+G7+H7)</f>
        <v>311221.61</v>
      </c>
      <c r="G4" s="3"/>
      <c r="H4" s="3"/>
      <c r="I4" s="25">
        <f>(I7+J7+K7)</f>
        <v>0</v>
      </c>
      <c r="J4" s="25"/>
      <c r="K4" s="25"/>
      <c r="L4" s="26">
        <f>(L7+M7+N7)</f>
        <v>0</v>
      </c>
      <c r="M4" s="26"/>
      <c r="N4" s="26"/>
      <c r="O4" s="1"/>
    </row>
    <row r="5" ht="15.6" spans="1:15">
      <c r="A5" s="5"/>
      <c r="B5" s="5" t="s">
        <v>22</v>
      </c>
      <c r="C5" s="6">
        <f>(C7+D7+E7)/(C6+D6+E6)</f>
        <v>0</v>
      </c>
      <c r="D5" s="6"/>
      <c r="E5" s="6"/>
      <c r="F5" s="7">
        <f>(F7+G7+H7)/(F6+G6+H6)</f>
        <v>0.350556244673086</v>
      </c>
      <c r="G5" s="7"/>
      <c r="H5" s="7"/>
      <c r="I5" s="27">
        <f>(I7+J7+K7)/(I6+J6+K6)</f>
        <v>0</v>
      </c>
      <c r="J5" s="27"/>
      <c r="K5" s="27"/>
      <c r="L5" s="28">
        <f>(L7+M7+N7)/(L6+M6+N6)</f>
        <v>0</v>
      </c>
      <c r="M5" s="28"/>
      <c r="N5" s="28"/>
      <c r="O5" s="5"/>
    </row>
    <row r="6" ht="31.2" spans="1:15">
      <c r="A6" s="8" t="s">
        <v>23</v>
      </c>
      <c r="B6" s="9" t="s">
        <v>24</v>
      </c>
      <c r="C6" s="10">
        <f>[3]总目标!B31</f>
        <v>249399.554098361</v>
      </c>
      <c r="D6" s="10">
        <f>[3]总目标!C31</f>
        <v>359988.363934426</v>
      </c>
      <c r="E6" s="10">
        <f>[3]总目标!D31</f>
        <v>283015.081967213</v>
      </c>
      <c r="F6" s="10">
        <f>[3]总目标!E31</f>
        <v>292149.336065573</v>
      </c>
      <c r="G6" s="10">
        <f>[3]总目标!F31</f>
        <v>251744.803278688</v>
      </c>
      <c r="H6" s="10">
        <f>[3]总目标!G31</f>
        <v>343899.516393443</v>
      </c>
      <c r="I6" s="10">
        <f>[3]总目标!H31</f>
        <v>432694.442622951</v>
      </c>
      <c r="J6" s="10">
        <f>[3]总目标!I31</f>
        <v>416424.590163934</v>
      </c>
      <c r="K6" s="10">
        <f>[3]总目标!J31</f>
        <v>396103.770491803</v>
      </c>
      <c r="L6" s="10">
        <f>[3]总目标!K31</f>
        <v>385857.049180328</v>
      </c>
      <c r="M6" s="10">
        <f>[3]总目标!L31</f>
        <v>398718.950819672</v>
      </c>
      <c r="N6" s="10">
        <f>[3]总目标!M31</f>
        <v>262747.868852459</v>
      </c>
      <c r="O6" s="29">
        <f>SUM(C6:N6)</f>
        <v>4072743.32786885</v>
      </c>
    </row>
    <row r="7" ht="15.6" spans="1:15">
      <c r="A7" s="11"/>
      <c r="B7" s="12" t="s">
        <v>25</v>
      </c>
      <c r="C7" s="13">
        <f>[3]总目标!B32+[3]总目标!B33+[3]总目标!B34+[3]总目标!B35+[3]总目标!B36</f>
        <v>0</v>
      </c>
      <c r="D7" s="13">
        <f>[3]总目标!C32+[3]总目标!C33+[3]总目标!C34+[3]总目标!C35+[3]总目标!C36</f>
        <v>0</v>
      </c>
      <c r="E7" s="13">
        <f>[3]总目标!D32+[3]总目标!D33+[3]总目标!D34+[3]总目标!D35+[3]总目标!D36</f>
        <v>0</v>
      </c>
      <c r="F7" s="13">
        <f>[3]总目标!E32+[3]总目标!E33+[3]总目标!E34+[3]总目标!E35+[3]总目标!E36</f>
        <v>0</v>
      </c>
      <c r="G7" s="13">
        <f>[3]总目标!F32+[3]总目标!F33+[3]总目标!F34+[3]总目标!F35+[3]总目标!F36</f>
        <v>311221.61</v>
      </c>
      <c r="H7" s="13">
        <f>[3]总目标!G32+[3]总目标!G33+[3]总目标!G34+[3]总目标!G35+[3]总目标!G36</f>
        <v>0</v>
      </c>
      <c r="I7" s="13">
        <f>[3]总目标!H32+[3]总目标!H33+[3]总目标!H34+[3]总目标!H35+[3]总目标!H36</f>
        <v>0</v>
      </c>
      <c r="J7" s="13">
        <f>[3]总目标!I32+[3]总目标!I33+[3]总目标!I34+[3]总目标!I35+[3]总目标!I36</f>
        <v>0</v>
      </c>
      <c r="K7" s="13">
        <f>[3]总目标!J32+[3]总目标!J33+[3]总目标!J34+[3]总目标!J35+[3]总目标!J36</f>
        <v>0</v>
      </c>
      <c r="L7" s="13">
        <f>[3]总目标!K32+[3]总目标!K33+[3]总目标!K34+[3]总目标!K35+[3]总目标!K36</f>
        <v>0</v>
      </c>
      <c r="M7" s="13">
        <f>[3]总目标!L32+[3]总目标!L33+[3]总目标!L34+[3]总目标!L35+[3]总目标!L36</f>
        <v>0</v>
      </c>
      <c r="N7" s="13">
        <f>[3]总目标!M32+[3]总目标!M33+[3]总目标!M34+[3]总目标!M35+[3]总目标!M36</f>
        <v>0</v>
      </c>
      <c r="O7" s="13">
        <f>SUM(C7:N7)</f>
        <v>311221.61</v>
      </c>
    </row>
    <row r="8" ht="15.6" spans="1:15">
      <c r="A8" s="11"/>
      <c r="B8" s="1" t="s">
        <v>26</v>
      </c>
      <c r="C8" s="14">
        <f t="shared" ref="C8:O8" si="0">C7/C6</f>
        <v>0</v>
      </c>
      <c r="D8" s="14">
        <f t="shared" si="0"/>
        <v>0</v>
      </c>
      <c r="E8" s="14">
        <f t="shared" si="0"/>
        <v>0</v>
      </c>
      <c r="F8" s="14">
        <f t="shared" si="0"/>
        <v>0</v>
      </c>
      <c r="G8" s="14">
        <f t="shared" si="0"/>
        <v>1.23625832965247</v>
      </c>
      <c r="H8" s="14">
        <f t="shared" si="0"/>
        <v>0</v>
      </c>
      <c r="I8" s="14">
        <f t="shared" si="0"/>
        <v>0</v>
      </c>
      <c r="J8" s="14">
        <f t="shared" si="0"/>
        <v>0</v>
      </c>
      <c r="K8" s="14">
        <f t="shared" si="0"/>
        <v>0</v>
      </c>
      <c r="L8" s="14">
        <f t="shared" si="0"/>
        <v>0</v>
      </c>
      <c r="M8" s="14">
        <f t="shared" si="0"/>
        <v>0</v>
      </c>
      <c r="N8" s="14">
        <f t="shared" si="0"/>
        <v>0</v>
      </c>
      <c r="O8" s="14">
        <f t="shared" si="0"/>
        <v>0.0764157190732796</v>
      </c>
    </row>
    <row r="9" ht="15.6" spans="1:15">
      <c r="A9" s="15"/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30"/>
    </row>
    <row r="10" ht="15.6" spans="1:15">
      <c r="A10" s="11"/>
      <c r="B10" s="1" t="s">
        <v>27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31"/>
    </row>
    <row r="11" ht="15.6" spans="1:15">
      <c r="A11" s="11"/>
      <c r="B11" s="12" t="s">
        <v>28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6" spans="1:15">
      <c r="A12" s="11"/>
      <c r="B12" s="1" t="s">
        <v>29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6" spans="1:15">
      <c r="A13" s="11"/>
      <c r="B13" s="16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30"/>
    </row>
    <row r="14" ht="15.6" spans="1:15">
      <c r="A14" s="11"/>
      <c r="B14" s="1" t="s">
        <v>30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32"/>
    </row>
    <row r="15" ht="15.6" spans="1:15">
      <c r="A15" s="11"/>
      <c r="B15" s="12" t="s">
        <v>31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6" spans="1:15">
      <c r="A16" s="11"/>
      <c r="B16" s="1" t="s">
        <v>32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6" spans="1:15">
      <c r="A17" s="11"/>
      <c r="B17" s="16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30"/>
    </row>
    <row r="18" ht="15.6" spans="1:15">
      <c r="A18" s="19"/>
      <c r="B18" s="20" t="s">
        <v>33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33"/>
    </row>
    <row r="19" ht="15.6" spans="1:15">
      <c r="A19" s="19"/>
      <c r="B19" s="21" t="s">
        <v>34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</row>
    <row r="20" ht="15.6" spans="1:15">
      <c r="A20" s="11"/>
      <c r="B20" s="1" t="s">
        <v>35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6" spans="1:15">
      <c r="A21" s="11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30"/>
    </row>
    <row r="22" ht="15.6" spans="1:15">
      <c r="A22" s="11"/>
      <c r="B22" s="1" t="s">
        <v>36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9"/>
    </row>
    <row r="23" ht="15.6" spans="1:15">
      <c r="A23" s="11"/>
      <c r="B23" s="12" t="s">
        <v>37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13"/>
    </row>
    <row r="24" ht="15.6" spans="1:15">
      <c r="A24" s="11"/>
      <c r="B24" s="1" t="s">
        <v>38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6" spans="1:15">
      <c r="A25" s="11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30"/>
    </row>
    <row r="26" ht="15.6" spans="1:15">
      <c r="A26" s="11"/>
      <c r="B26" s="1" t="s">
        <v>39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6" spans="1:15">
      <c r="A27" s="11"/>
      <c r="B27" s="1" t="s">
        <v>40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ht="15.6" spans="1:15">
      <c r="A28" s="11"/>
      <c r="B28" s="1" t="s">
        <v>41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ht="15.6" spans="1:15">
      <c r="A29" s="24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30"/>
    </row>
  </sheetData>
  <mergeCells count="16">
    <mergeCell ref="A1:O1"/>
    <mergeCell ref="C3:E3"/>
    <mergeCell ref="F3:H3"/>
    <mergeCell ref="I3:K3"/>
    <mergeCell ref="L3:N3"/>
    <mergeCell ref="C4:E4"/>
    <mergeCell ref="F4:H4"/>
    <mergeCell ref="I4:K4"/>
    <mergeCell ref="L4:N4"/>
    <mergeCell ref="C5:E5"/>
    <mergeCell ref="F5:H5"/>
    <mergeCell ref="I5:K5"/>
    <mergeCell ref="L5:N5"/>
    <mergeCell ref="A2:A5"/>
    <mergeCell ref="A6:A29"/>
    <mergeCell ref="O2:O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"/>
  <sheetViews>
    <sheetView workbookViewId="0">
      <selection activeCell="H7" sqref="H7"/>
    </sheetView>
  </sheetViews>
  <sheetFormatPr defaultColWidth="8.88888888888889" defaultRowHeight="14.4"/>
  <cols>
    <col min="1" max="1" width="14.1111111111111" customWidth="1"/>
    <col min="2" max="2" width="20.8888888888889" customWidth="1"/>
    <col min="3" max="3" width="12.2222222222222" customWidth="1"/>
    <col min="4" max="4" width="17.4444444444444" customWidth="1"/>
    <col min="5" max="7" width="15.5555555555556" customWidth="1"/>
    <col min="8" max="14" width="12.2222222222222" customWidth="1"/>
    <col min="15" max="15" width="17.4444444444444" customWidth="1"/>
  </cols>
  <sheetData>
    <row r="1" ht="15.6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5.6" spans="1:1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25" t="s">
        <v>9</v>
      </c>
      <c r="J2" s="25" t="s">
        <v>10</v>
      </c>
      <c r="K2" s="25" t="s">
        <v>11</v>
      </c>
      <c r="L2" s="26" t="s">
        <v>12</v>
      </c>
      <c r="M2" s="26" t="s">
        <v>13</v>
      </c>
      <c r="N2" s="26" t="s">
        <v>14</v>
      </c>
      <c r="O2" s="1" t="s">
        <v>15</v>
      </c>
    </row>
    <row r="3" ht="15.6" spans="1:15">
      <c r="A3" s="1"/>
      <c r="B3" s="1" t="s">
        <v>16</v>
      </c>
      <c r="C3" s="2" t="s">
        <v>17</v>
      </c>
      <c r="D3" s="2"/>
      <c r="E3" s="2"/>
      <c r="F3" s="3" t="s">
        <v>18</v>
      </c>
      <c r="G3" s="3"/>
      <c r="H3" s="3"/>
      <c r="I3" s="25" t="s">
        <v>19</v>
      </c>
      <c r="J3" s="25"/>
      <c r="K3" s="25"/>
      <c r="L3" s="26" t="s">
        <v>20</v>
      </c>
      <c r="M3" s="26"/>
      <c r="N3" s="26"/>
      <c r="O3" s="1"/>
    </row>
    <row r="4" ht="15.6" spans="1:15">
      <c r="A4" s="1"/>
      <c r="B4" s="1" t="s">
        <v>21</v>
      </c>
      <c r="C4" s="4">
        <f>(C7+D7+E7)</f>
        <v>0</v>
      </c>
      <c r="D4" s="4"/>
      <c r="E4" s="4"/>
      <c r="F4" s="3">
        <f>(F7+G7+H7)</f>
        <v>593668.09</v>
      </c>
      <c r="G4" s="3"/>
      <c r="H4" s="3"/>
      <c r="I4" s="25">
        <f>(I7+J7+K7)</f>
        <v>0</v>
      </c>
      <c r="J4" s="25"/>
      <c r="K4" s="25"/>
      <c r="L4" s="26">
        <f>(L7+M7+N7)</f>
        <v>0</v>
      </c>
      <c r="M4" s="26"/>
      <c r="N4" s="26"/>
      <c r="O4" s="1"/>
    </row>
    <row r="5" ht="15.6" spans="1:15">
      <c r="A5" s="5"/>
      <c r="B5" s="5" t="s">
        <v>22</v>
      </c>
      <c r="C5" s="6">
        <f>(C7+D7+E7)/(C6+D6+E6)</f>
        <v>0</v>
      </c>
      <c r="D5" s="6"/>
      <c r="E5" s="6"/>
      <c r="F5" s="7">
        <f>(F7+G7+H7)/(F6+G6+H6)</f>
        <v>0.477590862914025</v>
      </c>
      <c r="G5" s="7"/>
      <c r="H5" s="7"/>
      <c r="I5" s="27">
        <f>(I7+J7+K7)/(I6+J6+K6)</f>
        <v>0</v>
      </c>
      <c r="J5" s="27"/>
      <c r="K5" s="27"/>
      <c r="L5" s="28">
        <f>(L7+M7+N7)/(L6+M6+N6)</f>
        <v>0</v>
      </c>
      <c r="M5" s="28"/>
      <c r="N5" s="28"/>
      <c r="O5" s="5"/>
    </row>
    <row r="6" ht="31.2" spans="1:15">
      <c r="A6" s="8" t="s">
        <v>23</v>
      </c>
      <c r="B6" s="9" t="s">
        <v>24</v>
      </c>
      <c r="C6" s="10">
        <f>[3]总目标!B44</f>
        <v>372843</v>
      </c>
      <c r="D6" s="10">
        <f>[3]总目标!C44</f>
        <v>566214.491803279</v>
      </c>
      <c r="E6" s="10">
        <f>[3]总目标!D44</f>
        <v>425981.18852459</v>
      </c>
      <c r="F6" s="10">
        <f>[3]总目标!E44</f>
        <v>428093.165983607</v>
      </c>
      <c r="G6" s="10">
        <f>[3]总目标!F44</f>
        <v>438328.647540984</v>
      </c>
      <c r="H6" s="10">
        <f>[3]总目标!G44</f>
        <v>376625.606557377</v>
      </c>
      <c r="I6" s="10">
        <f>[3]总目标!H44</f>
        <v>516638.599385246</v>
      </c>
      <c r="J6" s="10">
        <f>[3]总目标!I44</f>
        <v>499972.838114754</v>
      </c>
      <c r="K6" s="10">
        <f>[3]总目标!J44</f>
        <v>490032.5</v>
      </c>
      <c r="L6" s="10">
        <f>[3]总目标!K44</f>
        <v>474225</v>
      </c>
      <c r="M6" s="10">
        <f>[3]总目标!L44</f>
        <v>490032.5</v>
      </c>
      <c r="N6" s="10">
        <f>[3]总目标!M44</f>
        <v>318392.868852459</v>
      </c>
      <c r="O6" s="29">
        <f>SUM(C6:N6)</f>
        <v>5397380.4067623</v>
      </c>
    </row>
    <row r="7" ht="15.6" spans="1:15">
      <c r="A7" s="11"/>
      <c r="B7" s="12" t="s">
        <v>25</v>
      </c>
      <c r="C7" s="13">
        <f>[3]总目标!B45+[3]总目标!B46+[3]总目标!B47+[3]总目标!B48+[3]总目标!B49</f>
        <v>0</v>
      </c>
      <c r="D7" s="13">
        <f>[3]总目标!C45+[3]总目标!C46+[3]总目标!C47+[3]总目标!C48+[3]总目标!C49</f>
        <v>0</v>
      </c>
      <c r="E7" s="13">
        <f>[3]总目标!D45+[3]总目标!D46+[3]总目标!D47+[3]总目标!D48+[3]总目标!D49</f>
        <v>0</v>
      </c>
      <c r="F7" s="13">
        <f>[3]总目标!E45+[3]总目标!E46+[3]总目标!E47+[3]总目标!E48+[3]总目标!E49</f>
        <v>0</v>
      </c>
      <c r="G7" s="13">
        <f>[3]总目标!F45+[3]总目标!F46+[3]总目标!F47+[3]总目标!F48+[3]总目标!F49</f>
        <v>593668.09</v>
      </c>
      <c r="H7" s="13">
        <f>[3]总目标!G45+[3]总目标!G46+[3]总目标!G47+[3]总目标!G48+[3]总目标!G49</f>
        <v>0</v>
      </c>
      <c r="I7" s="13">
        <f>[3]总目标!H45+[3]总目标!H46+[3]总目标!H47+[3]总目标!H48+[3]总目标!H49</f>
        <v>0</v>
      </c>
      <c r="J7" s="13">
        <f>[3]总目标!I45+[3]总目标!I46+[3]总目标!I47+[3]总目标!I48+[3]总目标!I49</f>
        <v>0</v>
      </c>
      <c r="K7" s="13">
        <f>[3]总目标!J45+[3]总目标!J46+[3]总目标!J47+[3]总目标!J48+[3]总目标!J49</f>
        <v>0</v>
      </c>
      <c r="L7" s="13">
        <f>[3]总目标!K45+[3]总目标!K46+[3]总目标!K47+[3]总目标!K48+[3]总目标!K49</f>
        <v>0</v>
      </c>
      <c r="M7" s="13">
        <f>[3]总目标!L45+[3]总目标!L46+[3]总目标!L47+[3]总目标!L48+[3]总目标!L49</f>
        <v>0</v>
      </c>
      <c r="N7" s="13">
        <f>[3]总目标!M45+[3]总目标!M46+[3]总目标!M47+[3]总目标!M48+[3]总目标!M49</f>
        <v>0</v>
      </c>
      <c r="O7" s="13">
        <f>SUM(C7:N7)</f>
        <v>593668.09</v>
      </c>
    </row>
    <row r="8" ht="15.6" spans="1:15">
      <c r="A8" s="11"/>
      <c r="B8" s="1" t="s">
        <v>26</v>
      </c>
      <c r="C8" s="14">
        <f t="shared" ref="C8:O8" si="0">C7/C6</f>
        <v>0</v>
      </c>
      <c r="D8" s="14">
        <f t="shared" si="0"/>
        <v>0</v>
      </c>
      <c r="E8" s="14">
        <f t="shared" si="0"/>
        <v>0</v>
      </c>
      <c r="F8" s="14">
        <f t="shared" si="0"/>
        <v>0</v>
      </c>
      <c r="G8" s="14">
        <f t="shared" si="0"/>
        <v>1.35439034918312</v>
      </c>
      <c r="H8" s="14">
        <f t="shared" si="0"/>
        <v>0</v>
      </c>
      <c r="I8" s="14">
        <f t="shared" si="0"/>
        <v>0</v>
      </c>
      <c r="J8" s="14">
        <f t="shared" si="0"/>
        <v>0</v>
      </c>
      <c r="K8" s="14">
        <f t="shared" si="0"/>
        <v>0</v>
      </c>
      <c r="L8" s="14">
        <f t="shared" si="0"/>
        <v>0</v>
      </c>
      <c r="M8" s="14">
        <f t="shared" si="0"/>
        <v>0</v>
      </c>
      <c r="N8" s="14">
        <f t="shared" si="0"/>
        <v>0</v>
      </c>
      <c r="O8" s="14">
        <f t="shared" si="0"/>
        <v>0.109991893337035</v>
      </c>
    </row>
    <row r="9" ht="15.6" spans="1:15">
      <c r="A9" s="15"/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30"/>
    </row>
    <row r="10" ht="15.6" spans="1:15">
      <c r="A10" s="11"/>
      <c r="B10" s="1" t="s">
        <v>27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31"/>
    </row>
    <row r="11" ht="15.6" spans="1:15">
      <c r="A11" s="11"/>
      <c r="B11" s="12" t="s">
        <v>28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6" spans="1:15">
      <c r="A12" s="11"/>
      <c r="B12" s="1" t="s">
        <v>29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6" spans="1:15">
      <c r="A13" s="11"/>
      <c r="B13" s="16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30"/>
    </row>
    <row r="14" ht="15.6" spans="1:15">
      <c r="A14" s="11"/>
      <c r="B14" s="1" t="s">
        <v>30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32"/>
    </row>
    <row r="15" ht="15.6" spans="1:15">
      <c r="A15" s="11"/>
      <c r="B15" s="12" t="s">
        <v>31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6" spans="1:15">
      <c r="A16" s="11"/>
      <c r="B16" s="1" t="s">
        <v>32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6" spans="1:15">
      <c r="A17" s="11"/>
      <c r="B17" s="16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30"/>
    </row>
    <row r="18" ht="15.6" spans="1:15">
      <c r="A18" s="19"/>
      <c r="B18" s="20" t="s">
        <v>33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33"/>
    </row>
    <row r="19" ht="15.6" spans="1:15">
      <c r="A19" s="19"/>
      <c r="B19" s="21" t="s">
        <v>34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</row>
    <row r="20" ht="15.6" spans="1:15">
      <c r="A20" s="11"/>
      <c r="B20" s="1" t="s">
        <v>35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6" spans="1:15">
      <c r="A21" s="11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30"/>
    </row>
    <row r="22" ht="15.6" spans="1:15">
      <c r="A22" s="11"/>
      <c r="B22" s="1" t="s">
        <v>36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9"/>
    </row>
    <row r="23" ht="15.6" spans="1:15">
      <c r="A23" s="11"/>
      <c r="B23" s="12" t="s">
        <v>37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13"/>
    </row>
    <row r="24" ht="15.6" spans="1:15">
      <c r="A24" s="11"/>
      <c r="B24" s="1" t="s">
        <v>38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6" spans="1:15">
      <c r="A25" s="11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30"/>
    </row>
    <row r="26" ht="15.6" spans="1:15">
      <c r="A26" s="11"/>
      <c r="B26" s="1" t="s">
        <v>39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6" spans="1:15">
      <c r="A27" s="11"/>
      <c r="B27" s="1" t="s">
        <v>40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ht="15.6" spans="1:15">
      <c r="A28" s="11"/>
      <c r="B28" s="1" t="s">
        <v>41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ht="15.6" spans="1:15">
      <c r="A29" s="24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30"/>
    </row>
  </sheetData>
  <mergeCells count="16">
    <mergeCell ref="A1:O1"/>
    <mergeCell ref="C3:E3"/>
    <mergeCell ref="F3:H3"/>
    <mergeCell ref="I3:K3"/>
    <mergeCell ref="L3:N3"/>
    <mergeCell ref="C4:E4"/>
    <mergeCell ref="F4:H4"/>
    <mergeCell ref="I4:K4"/>
    <mergeCell ref="L4:N4"/>
    <mergeCell ref="C5:E5"/>
    <mergeCell ref="F5:H5"/>
    <mergeCell ref="I5:K5"/>
    <mergeCell ref="L5:N5"/>
    <mergeCell ref="A2:A5"/>
    <mergeCell ref="A6:A29"/>
    <mergeCell ref="O2:O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"/>
  <sheetViews>
    <sheetView workbookViewId="0">
      <selection activeCell="H35" sqref="H35"/>
    </sheetView>
  </sheetViews>
  <sheetFormatPr defaultColWidth="8.88888888888889" defaultRowHeight="14.4"/>
  <cols>
    <col min="1" max="1" width="14.1111111111111" customWidth="1"/>
    <col min="2" max="2" width="20.8888888888889" customWidth="1"/>
    <col min="3" max="3" width="15.5555555555556" customWidth="1"/>
    <col min="4" max="4" width="17.4444444444444" customWidth="1"/>
    <col min="5" max="7" width="15.5555555555556" customWidth="1"/>
    <col min="8" max="14" width="12.2222222222222" customWidth="1"/>
    <col min="15" max="15" width="17.4444444444444" customWidth="1"/>
  </cols>
  <sheetData>
    <row r="1" ht="15.6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5.6" spans="1:1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25" t="s">
        <v>9</v>
      </c>
      <c r="J2" s="25" t="s">
        <v>10</v>
      </c>
      <c r="K2" s="25" t="s">
        <v>11</v>
      </c>
      <c r="L2" s="26" t="s">
        <v>12</v>
      </c>
      <c r="M2" s="26" t="s">
        <v>13</v>
      </c>
      <c r="N2" s="26" t="s">
        <v>14</v>
      </c>
      <c r="O2" s="1" t="s">
        <v>15</v>
      </c>
    </row>
    <row r="3" ht="15.6" spans="1:15">
      <c r="A3" s="1"/>
      <c r="B3" s="1" t="s">
        <v>16</v>
      </c>
      <c r="C3" s="2" t="s">
        <v>17</v>
      </c>
      <c r="D3" s="2"/>
      <c r="E3" s="2"/>
      <c r="F3" s="3" t="s">
        <v>18</v>
      </c>
      <c r="G3" s="3"/>
      <c r="H3" s="3"/>
      <c r="I3" s="25" t="s">
        <v>19</v>
      </c>
      <c r="J3" s="25"/>
      <c r="K3" s="25"/>
      <c r="L3" s="26" t="s">
        <v>20</v>
      </c>
      <c r="M3" s="26"/>
      <c r="N3" s="26"/>
      <c r="O3" s="1"/>
    </row>
    <row r="4" ht="15.6" spans="1:15">
      <c r="A4" s="1"/>
      <c r="B4" s="1" t="s">
        <v>21</v>
      </c>
      <c r="C4" s="4">
        <f>(C7+D7+E7)</f>
        <v>1368108.78</v>
      </c>
      <c r="D4" s="4"/>
      <c r="E4" s="4"/>
      <c r="F4" s="3">
        <f>(F7+G7+H7)</f>
        <v>507178.22</v>
      </c>
      <c r="G4" s="3"/>
      <c r="H4" s="3"/>
      <c r="I4" s="25">
        <f>(I7+J7+K7)</f>
        <v>0</v>
      </c>
      <c r="J4" s="25"/>
      <c r="K4" s="25"/>
      <c r="L4" s="26">
        <f>(L7+M7+N7)</f>
        <v>0</v>
      </c>
      <c r="M4" s="26"/>
      <c r="N4" s="26"/>
      <c r="O4" s="1"/>
    </row>
    <row r="5" ht="15.6" spans="1:15">
      <c r="A5" s="5"/>
      <c r="B5" s="5" t="s">
        <v>22</v>
      </c>
      <c r="C5" s="6">
        <f>(C7+D7+E7)/(C6+D6+E6)</f>
        <v>0.924484046695538</v>
      </c>
      <c r="D5" s="6"/>
      <c r="E5" s="6"/>
      <c r="F5" s="7">
        <f>(F7+G7+H7)/(F6+G6+H6)</f>
        <v>0.340697665668934</v>
      </c>
      <c r="G5" s="7"/>
      <c r="H5" s="7"/>
      <c r="I5" s="27">
        <f>(I7+J7+K7)/(I6+J6+K6)</f>
        <v>0</v>
      </c>
      <c r="J5" s="27"/>
      <c r="K5" s="27"/>
      <c r="L5" s="28">
        <f>(L7+M7+N7)/(L6+M6+N6)</f>
        <v>0</v>
      </c>
      <c r="M5" s="28"/>
      <c r="N5" s="28"/>
      <c r="O5" s="5"/>
    </row>
    <row r="6" ht="31.2" spans="1:15">
      <c r="A6" s="8" t="s">
        <v>23</v>
      </c>
      <c r="B6" s="9" t="s">
        <v>24</v>
      </c>
      <c r="C6" s="10">
        <f>[3]总目标!B58</f>
        <v>278839</v>
      </c>
      <c r="D6" s="10">
        <f>[3]总目标!C58</f>
        <v>672748.786885246</v>
      </c>
      <c r="E6" s="10">
        <f>[3]总目标!D58</f>
        <v>528274.180327869</v>
      </c>
      <c r="F6" s="10">
        <f>[3]总目标!E58</f>
        <v>526052.975409836</v>
      </c>
      <c r="G6" s="10">
        <f>[3]总目标!F58</f>
        <v>511352.459016394</v>
      </c>
      <c r="H6" s="10">
        <f>[3]总目标!G58</f>
        <v>451240.573770492</v>
      </c>
      <c r="I6" s="10">
        <f>[3]总目标!H58</f>
        <v>540132.311475409</v>
      </c>
      <c r="J6" s="10">
        <f>[3]总目标!I58</f>
        <v>525321.147540984</v>
      </c>
      <c r="K6" s="10">
        <f>[3]总目标!J58</f>
        <v>507300.262295082</v>
      </c>
      <c r="L6" s="10">
        <f>[3]总目标!K58</f>
        <v>494517.049180328</v>
      </c>
      <c r="M6" s="10">
        <f>[3]总目标!L58</f>
        <v>507296.196721311</v>
      </c>
      <c r="N6" s="10">
        <f>[3]总目标!M58</f>
        <v>361615.508196722</v>
      </c>
      <c r="O6" s="29">
        <f>SUM(C6:N6)</f>
        <v>5904690.45081967</v>
      </c>
    </row>
    <row r="7" ht="15.6" spans="1:15">
      <c r="A7" s="11"/>
      <c r="B7" s="12" t="s">
        <v>25</v>
      </c>
      <c r="C7" s="13">
        <f>[3]总目标!B59+[3]总目标!B60+[3]总目标!B61+[3]总目标!B62+[3]总目标!B63</f>
        <v>229311.59</v>
      </c>
      <c r="D7" s="13">
        <f>[3]总目标!C59+[3]总目标!C60+[3]总目标!C61+[3]总目标!C62+[3]总目标!C63</f>
        <v>770766.4</v>
      </c>
      <c r="E7" s="13">
        <f>[3]总目标!D59+[3]总目标!D60+[3]总目标!D61+[3]总目标!D62+[3]总目标!D63</f>
        <v>368030.79</v>
      </c>
      <c r="F7" s="13">
        <f>[3]总目标!E59+[3]总目标!E60+[3]总目标!E61+[3]总目标!E62+[3]总目标!E63</f>
        <v>363130.13</v>
      </c>
      <c r="G7" s="13">
        <v>144048.09</v>
      </c>
      <c r="H7" s="13">
        <f>[3]总目标!G59+[3]总目标!G60+[3]总目标!G61+[3]总目标!G62+[3]总目标!G63</f>
        <v>0</v>
      </c>
      <c r="I7" s="13">
        <f>[3]总目标!H59+[3]总目标!H60+[3]总目标!H61+[3]总目标!H62+[3]总目标!H63</f>
        <v>0</v>
      </c>
      <c r="J7" s="13">
        <f>[3]总目标!I59+[3]总目标!I60+[3]总目标!I61+[3]总目标!I62+[3]总目标!I63</f>
        <v>0</v>
      </c>
      <c r="K7" s="13">
        <f>[3]总目标!J59+[3]总目标!J60+[3]总目标!J61+[3]总目标!J62+[3]总目标!J63</f>
        <v>0</v>
      </c>
      <c r="L7" s="13">
        <f>[3]总目标!K59+[3]总目标!K60+[3]总目标!K61+[3]总目标!K62+[3]总目标!K63</f>
        <v>0</v>
      </c>
      <c r="M7" s="13">
        <f>[3]总目标!L59+[3]总目标!L60+[3]总目标!L61+[3]总目标!L62+[3]总目标!L63</f>
        <v>0</v>
      </c>
      <c r="N7" s="13">
        <f>[3]总目标!M59+[3]总目标!M60+[3]总目标!M61+[3]总目标!M62+[3]总目标!M63</f>
        <v>0</v>
      </c>
      <c r="O7" s="13">
        <f>SUM(C7:N7)</f>
        <v>1875287</v>
      </c>
    </row>
    <row r="8" ht="15.6" spans="1:15">
      <c r="A8" s="11"/>
      <c r="B8" s="1" t="s">
        <v>26</v>
      </c>
      <c r="C8" s="14">
        <f t="shared" ref="C8:O8" si="0">C7/C6</f>
        <v>0.822379903815463</v>
      </c>
      <c r="D8" s="14">
        <f t="shared" si="0"/>
        <v>1.14569719786276</v>
      </c>
      <c r="E8" s="14">
        <f t="shared" si="0"/>
        <v>0.696666245871764</v>
      </c>
      <c r="F8" s="14">
        <f t="shared" si="0"/>
        <v>0.690291942017994</v>
      </c>
      <c r="G8" s="14">
        <f t="shared" si="0"/>
        <v>0.281700200048088</v>
      </c>
      <c r="H8" s="14">
        <f t="shared" si="0"/>
        <v>0</v>
      </c>
      <c r="I8" s="14">
        <f t="shared" si="0"/>
        <v>0</v>
      </c>
      <c r="J8" s="14">
        <f t="shared" si="0"/>
        <v>0</v>
      </c>
      <c r="K8" s="14">
        <f t="shared" si="0"/>
        <v>0</v>
      </c>
      <c r="L8" s="14">
        <f t="shared" si="0"/>
        <v>0</v>
      </c>
      <c r="M8" s="14">
        <f t="shared" si="0"/>
        <v>0</v>
      </c>
      <c r="N8" s="14">
        <f t="shared" si="0"/>
        <v>0</v>
      </c>
      <c r="O8" s="14">
        <f t="shared" si="0"/>
        <v>0.317592770631977</v>
      </c>
    </row>
    <row r="9" ht="15.6" spans="1:15">
      <c r="A9" s="15"/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30"/>
    </row>
    <row r="10" ht="15.6" spans="1:15">
      <c r="A10" s="11"/>
      <c r="B10" s="1" t="s">
        <v>27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31"/>
    </row>
    <row r="11" ht="15.6" spans="1:15">
      <c r="A11" s="11"/>
      <c r="B11" s="12" t="s">
        <v>28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6" spans="1:15">
      <c r="A12" s="11"/>
      <c r="B12" s="1" t="s">
        <v>29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6" spans="1:15">
      <c r="A13" s="11"/>
      <c r="B13" s="16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30"/>
    </row>
    <row r="14" ht="15.6" spans="1:15">
      <c r="A14" s="11"/>
      <c r="B14" s="1" t="s">
        <v>30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32"/>
    </row>
    <row r="15" ht="15.6" spans="1:15">
      <c r="A15" s="11"/>
      <c r="B15" s="12" t="s">
        <v>31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6" spans="1:15">
      <c r="A16" s="11"/>
      <c r="B16" s="1" t="s">
        <v>32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6" spans="1:15">
      <c r="A17" s="11"/>
      <c r="B17" s="16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30"/>
    </row>
    <row r="18" ht="15.6" spans="1:15">
      <c r="A18" s="19"/>
      <c r="B18" s="20" t="s">
        <v>33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33"/>
    </row>
    <row r="19" ht="15.6" spans="1:15">
      <c r="A19" s="19"/>
      <c r="B19" s="21" t="s">
        <v>34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</row>
    <row r="20" ht="15.6" spans="1:15">
      <c r="A20" s="11"/>
      <c r="B20" s="1" t="s">
        <v>35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6" spans="1:15">
      <c r="A21" s="11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30"/>
    </row>
    <row r="22" ht="15.6" spans="1:15">
      <c r="A22" s="11"/>
      <c r="B22" s="1" t="s">
        <v>36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9"/>
    </row>
    <row r="23" ht="15.6" spans="1:15">
      <c r="A23" s="11"/>
      <c r="B23" s="12" t="s">
        <v>37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13"/>
    </row>
    <row r="24" ht="15.6" spans="1:15">
      <c r="A24" s="11"/>
      <c r="B24" s="1" t="s">
        <v>38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6" spans="1:15">
      <c r="A25" s="11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30"/>
    </row>
    <row r="26" ht="15.6" spans="1:15">
      <c r="A26" s="11"/>
      <c r="B26" s="1" t="s">
        <v>39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6" spans="1:15">
      <c r="A27" s="11"/>
      <c r="B27" s="1" t="s">
        <v>40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ht="15.6" spans="1:15">
      <c r="A28" s="11"/>
      <c r="B28" s="1" t="s">
        <v>41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ht="15.6" spans="1:15">
      <c r="A29" s="24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30"/>
    </row>
  </sheetData>
  <mergeCells count="16">
    <mergeCell ref="A1:O1"/>
    <mergeCell ref="C3:E3"/>
    <mergeCell ref="F3:H3"/>
    <mergeCell ref="I3:K3"/>
    <mergeCell ref="L3:N3"/>
    <mergeCell ref="C4:E4"/>
    <mergeCell ref="F4:H4"/>
    <mergeCell ref="I4:K4"/>
    <mergeCell ref="L4:N4"/>
    <mergeCell ref="C5:E5"/>
    <mergeCell ref="F5:H5"/>
    <mergeCell ref="I5:K5"/>
    <mergeCell ref="L5:N5"/>
    <mergeCell ref="A2:A5"/>
    <mergeCell ref="A6:A29"/>
    <mergeCell ref="O2:O5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"/>
  <sheetViews>
    <sheetView workbookViewId="0">
      <selection activeCell="G36" sqref="G36"/>
    </sheetView>
  </sheetViews>
  <sheetFormatPr defaultColWidth="8.88888888888889" defaultRowHeight="14.4"/>
  <cols>
    <col min="1" max="1" width="14.1111111111111" customWidth="1"/>
    <col min="2" max="2" width="20.8888888888889" customWidth="1"/>
    <col min="3" max="3" width="15.5555555555556" customWidth="1"/>
    <col min="4" max="4" width="17.4444444444444" customWidth="1"/>
    <col min="5" max="7" width="15.5555555555556" customWidth="1"/>
    <col min="8" max="14" width="12.2222222222222" customWidth="1"/>
    <col min="15" max="15" width="17.4444444444444" customWidth="1"/>
  </cols>
  <sheetData>
    <row r="1" ht="15.6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5.6" spans="1:1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25" t="s">
        <v>9</v>
      </c>
      <c r="J2" s="25" t="s">
        <v>10</v>
      </c>
      <c r="K2" s="25" t="s">
        <v>11</v>
      </c>
      <c r="L2" s="26" t="s">
        <v>12</v>
      </c>
      <c r="M2" s="26" t="s">
        <v>13</v>
      </c>
      <c r="N2" s="26" t="s">
        <v>14</v>
      </c>
      <c r="O2" s="1" t="s">
        <v>15</v>
      </c>
    </row>
    <row r="3" ht="15.6" spans="1:15">
      <c r="A3" s="1"/>
      <c r="B3" s="1" t="s">
        <v>16</v>
      </c>
      <c r="C3" s="2" t="s">
        <v>17</v>
      </c>
      <c r="D3" s="2"/>
      <c r="E3" s="2"/>
      <c r="F3" s="3" t="s">
        <v>18</v>
      </c>
      <c r="G3" s="3"/>
      <c r="H3" s="3"/>
      <c r="I3" s="25" t="s">
        <v>19</v>
      </c>
      <c r="J3" s="25"/>
      <c r="K3" s="25"/>
      <c r="L3" s="26" t="s">
        <v>20</v>
      </c>
      <c r="M3" s="26"/>
      <c r="N3" s="26"/>
      <c r="O3" s="1"/>
    </row>
    <row r="4" ht="15.6" spans="1:15">
      <c r="A4" s="1"/>
      <c r="B4" s="1" t="s">
        <v>21</v>
      </c>
      <c r="C4" s="4">
        <f>(C7+D7+E7)</f>
        <v>66620.78</v>
      </c>
      <c r="D4" s="4"/>
      <c r="E4" s="4"/>
      <c r="F4" s="3">
        <f>(F7+G7+H7)</f>
        <v>71602.76</v>
      </c>
      <c r="G4" s="3"/>
      <c r="H4" s="3"/>
      <c r="I4" s="25">
        <f>(I7+J7+K7)</f>
        <v>0</v>
      </c>
      <c r="J4" s="25"/>
      <c r="K4" s="25"/>
      <c r="L4" s="26">
        <f>(L7+M7+N7)</f>
        <v>0</v>
      </c>
      <c r="M4" s="26"/>
      <c r="N4" s="26"/>
      <c r="O4" s="1"/>
    </row>
    <row r="5" ht="15.6" spans="1:15">
      <c r="A5" s="5"/>
      <c r="B5" s="5" t="s">
        <v>22</v>
      </c>
      <c r="C5" s="6">
        <f>(C7+D7+E7)/(C6+D6+E6)</f>
        <v>0.261025439641516</v>
      </c>
      <c r="D5" s="6"/>
      <c r="E5" s="6"/>
      <c r="F5" s="7">
        <f>(F7+G7+H7)/(F6+G6+H6)</f>
        <v>0.1454620984829</v>
      </c>
      <c r="G5" s="7"/>
      <c r="H5" s="7"/>
      <c r="I5" s="27">
        <f>(I7+J7+K7)/(I6+J6+K6)</f>
        <v>0</v>
      </c>
      <c r="J5" s="27"/>
      <c r="K5" s="27"/>
      <c r="L5" s="28">
        <f>(L7+M7+N7)/(L6+M6+N6)</f>
        <v>0</v>
      </c>
      <c r="M5" s="28"/>
      <c r="N5" s="28"/>
      <c r="O5" s="5"/>
    </row>
    <row r="6" ht="31.2" spans="1:15">
      <c r="A6" s="8" t="s">
        <v>23</v>
      </c>
      <c r="B6" s="9" t="s">
        <v>24</v>
      </c>
      <c r="C6" s="10">
        <f>[3]总目标!B70</f>
        <v>34481</v>
      </c>
      <c r="D6" s="10">
        <f>[3]总目标!C70</f>
        <v>86791.2971311476</v>
      </c>
      <c r="E6" s="10">
        <f>[3]总目标!D70</f>
        <v>133954.856557377</v>
      </c>
      <c r="F6" s="10">
        <f>[3]总目标!E70</f>
        <v>141243.464139344</v>
      </c>
      <c r="G6" s="10">
        <f>[3]总目标!F70</f>
        <v>195306.823770492</v>
      </c>
      <c r="H6" s="10">
        <f>[3]总目标!G70</f>
        <v>155693.126331967</v>
      </c>
      <c r="I6" s="10">
        <f>[3]总目标!H70</f>
        <v>213216.284836066</v>
      </c>
      <c r="J6" s="10">
        <f>[3]总目标!I70</f>
        <v>206338.340163934</v>
      </c>
      <c r="K6" s="10">
        <f>[3]总目标!J70</f>
        <v>195186.830942623</v>
      </c>
      <c r="L6" s="10">
        <f>[3]总目标!K70</f>
        <v>187961.834016393</v>
      </c>
      <c r="M6" s="10">
        <f>[3]总目标!L70</f>
        <v>195186.830942623</v>
      </c>
      <c r="N6" s="10">
        <f>[3]总目标!M70</f>
        <v>98770.5102459016</v>
      </c>
      <c r="O6" s="29">
        <f>SUM(C6:N6)</f>
        <v>1844131.19907787</v>
      </c>
    </row>
    <row r="7" ht="15.6" spans="1:15">
      <c r="A7" s="11"/>
      <c r="B7" s="12" t="s">
        <v>25</v>
      </c>
      <c r="C7" s="13">
        <f>[3]总目标!B71+[3]总目标!B72+[3]总目标!B73+[3]总目标!B74+[3]总目标!B75</f>
        <v>0</v>
      </c>
      <c r="D7" s="13">
        <f>[3]总目标!C71+[3]总目标!C72+[3]总目标!C73+[3]总目标!C74+[3]总目标!C75</f>
        <v>52452.23</v>
      </c>
      <c r="E7" s="13">
        <f>[3]总目标!D71+[3]总目标!D72+[3]总目标!D73+[3]总目标!D74+[3]总目标!D75</f>
        <v>14168.55</v>
      </c>
      <c r="F7" s="13">
        <f>[3]总目标!E71+[3]总目标!E72+[3]总目标!E73+[3]总目标!E74+[3]总目标!E75</f>
        <v>49822.88</v>
      </c>
      <c r="G7" s="13">
        <v>21779.88</v>
      </c>
      <c r="H7" s="13">
        <f>[3]总目标!G71+[3]总目标!G72+[3]总目标!G73+[3]总目标!G74+[3]总目标!G75</f>
        <v>0</v>
      </c>
      <c r="I7" s="13">
        <f>[3]总目标!H71+[3]总目标!H72+[3]总目标!H73+[3]总目标!H74+[3]总目标!H75</f>
        <v>0</v>
      </c>
      <c r="J7" s="13">
        <f>[3]总目标!I71+[3]总目标!I72+[3]总目标!I73+[3]总目标!I74+[3]总目标!I75</f>
        <v>0</v>
      </c>
      <c r="K7" s="13">
        <f>[3]总目标!J71+[3]总目标!J72+[3]总目标!J73+[3]总目标!J74+[3]总目标!J75</f>
        <v>0</v>
      </c>
      <c r="L7" s="13">
        <f>[3]总目标!K71+[3]总目标!K72+[3]总目标!K73+[3]总目标!K74+[3]总目标!K75</f>
        <v>0</v>
      </c>
      <c r="M7" s="13">
        <f>[3]总目标!L71+[3]总目标!L72+[3]总目标!L73+[3]总目标!L74+[3]总目标!L75</f>
        <v>0</v>
      </c>
      <c r="N7" s="13">
        <f>[3]总目标!M71+[3]总目标!M72+[3]总目标!M73+[3]总目标!M74+[3]总目标!M75</f>
        <v>0</v>
      </c>
      <c r="O7" s="13">
        <f>SUM(C7:N7)</f>
        <v>138223.54</v>
      </c>
    </row>
    <row r="8" ht="15.6" spans="1:15">
      <c r="A8" s="11"/>
      <c r="B8" s="1" t="s">
        <v>26</v>
      </c>
      <c r="C8" s="14">
        <f t="shared" ref="C8:O8" si="0">C7/C6</f>
        <v>0</v>
      </c>
      <c r="D8" s="14">
        <f t="shared" si="0"/>
        <v>0.604348958176545</v>
      </c>
      <c r="E8" s="14">
        <f t="shared" si="0"/>
        <v>0.105771081124865</v>
      </c>
      <c r="F8" s="14">
        <f t="shared" si="0"/>
        <v>0.35274467603575</v>
      </c>
      <c r="G8" s="14">
        <f t="shared" si="0"/>
        <v>0.111516226517481</v>
      </c>
      <c r="H8" s="14">
        <f t="shared" si="0"/>
        <v>0</v>
      </c>
      <c r="I8" s="14">
        <f t="shared" si="0"/>
        <v>0</v>
      </c>
      <c r="J8" s="14">
        <f t="shared" si="0"/>
        <v>0</v>
      </c>
      <c r="K8" s="14">
        <f t="shared" si="0"/>
        <v>0</v>
      </c>
      <c r="L8" s="14">
        <f t="shared" si="0"/>
        <v>0</v>
      </c>
      <c r="M8" s="14">
        <f t="shared" si="0"/>
        <v>0</v>
      </c>
      <c r="N8" s="14">
        <f t="shared" si="0"/>
        <v>0</v>
      </c>
      <c r="O8" s="14">
        <f t="shared" si="0"/>
        <v>0.0749532029332386</v>
      </c>
    </row>
    <row r="9" ht="15.6" spans="1:15">
      <c r="A9" s="15"/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30"/>
    </row>
    <row r="10" ht="15.6" spans="1:15">
      <c r="A10" s="11"/>
      <c r="B10" s="1" t="s">
        <v>27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31"/>
    </row>
    <row r="11" ht="15.6" spans="1:15">
      <c r="A11" s="11"/>
      <c r="B11" s="12" t="s">
        <v>28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6" spans="1:15">
      <c r="A12" s="11"/>
      <c r="B12" s="1" t="s">
        <v>29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6" spans="1:15">
      <c r="A13" s="11"/>
      <c r="B13" s="16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30"/>
    </row>
    <row r="14" ht="15.6" spans="1:15">
      <c r="A14" s="11"/>
      <c r="B14" s="1" t="s">
        <v>30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32"/>
    </row>
    <row r="15" ht="15.6" spans="1:15">
      <c r="A15" s="11"/>
      <c r="B15" s="12" t="s">
        <v>31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6" spans="1:15">
      <c r="A16" s="11"/>
      <c r="B16" s="1" t="s">
        <v>32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6" spans="1:15">
      <c r="A17" s="11"/>
      <c r="B17" s="16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30"/>
    </row>
    <row r="18" ht="15.6" spans="1:15">
      <c r="A18" s="19"/>
      <c r="B18" s="20" t="s">
        <v>33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33"/>
    </row>
    <row r="19" ht="15.6" spans="1:15">
      <c r="A19" s="19"/>
      <c r="B19" s="21" t="s">
        <v>34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</row>
    <row r="20" ht="15.6" spans="1:15">
      <c r="A20" s="11"/>
      <c r="B20" s="1" t="s">
        <v>35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6" spans="1:15">
      <c r="A21" s="11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30"/>
    </row>
    <row r="22" ht="15.6" spans="1:15">
      <c r="A22" s="11"/>
      <c r="B22" s="1" t="s">
        <v>36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9"/>
    </row>
    <row r="23" ht="15.6" spans="1:15">
      <c r="A23" s="11"/>
      <c r="B23" s="12" t="s">
        <v>37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13"/>
    </row>
    <row r="24" ht="15.6" spans="1:15">
      <c r="A24" s="11"/>
      <c r="B24" s="1" t="s">
        <v>38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6" spans="1:15">
      <c r="A25" s="11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30"/>
    </row>
    <row r="26" ht="15.6" spans="1:15">
      <c r="A26" s="11"/>
      <c r="B26" s="1" t="s">
        <v>39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6" spans="1:15">
      <c r="A27" s="11"/>
      <c r="B27" s="1" t="s">
        <v>40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ht="15.6" spans="1:15">
      <c r="A28" s="11"/>
      <c r="B28" s="1" t="s">
        <v>41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ht="15.6" spans="1:15">
      <c r="A29" s="24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30"/>
    </row>
  </sheetData>
  <mergeCells count="16">
    <mergeCell ref="A1:O1"/>
    <mergeCell ref="C3:E3"/>
    <mergeCell ref="F3:H3"/>
    <mergeCell ref="I3:K3"/>
    <mergeCell ref="L3:N3"/>
    <mergeCell ref="C4:E4"/>
    <mergeCell ref="F4:H4"/>
    <mergeCell ref="I4:K4"/>
    <mergeCell ref="L4:N4"/>
    <mergeCell ref="C5:E5"/>
    <mergeCell ref="F5:H5"/>
    <mergeCell ref="I5:K5"/>
    <mergeCell ref="L5:N5"/>
    <mergeCell ref="A2:A5"/>
    <mergeCell ref="A6:A29"/>
    <mergeCell ref="O2:O5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NetdiskSupbooks xmlns="http://www.wps.cn/et/2019/netdiskSupbooks">
  <NetdiskSupbook Target="file:///C:\Users\12139\WPSDrive\1725300681\WPS企业云盘\瑞安市水滴电子商务有限公司\团队文档\俄罗斯运营二部\立新\2026WB年规进度.xlsx" FileId="494009728226" NetdiskName="yunwps"/>
  <NetdiskSupbook Target="file:///C:\Users\12139\WPSDrive\1725300681\WPS企业云盘\瑞安市水滴电子商务有限公司\团队文档\俄罗斯运营二部\梦瑶\2026WB年规进度-梦瑶.xlsx" FileId="497856789952" NetdiskName="yunwps"/>
  <NetdiskSupbook Target="file:///C:\Users\12139\WPSDrive\1725300681\WPS企业云盘\瑞安市水滴电子商务有限公司\团队文档\俄罗斯运营一部\WB运营报表\目标\2026年俄罗斯目标拆分.xlsx" FileId="505692420986" NetdiskName="yunwps"/>
</NetdiskSupbooks>
</file>

<file path=customXml/itemProps1.xml><?xml version="1.0" encoding="utf-8"?>
<ds:datastoreItem xmlns:ds="http://schemas.openxmlformats.org/officeDocument/2006/customXml" ds:itemID="{8CA11897-456E-43AF-AC28-93E1BBEC0A59}">
  <ds:schemaRefs>
    <ds:schemaRef ds:uri="http://www.wps.cn/et/2019/netdiskSupbook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毛立新</vt:lpstr>
      <vt:lpstr>张梦瑶</vt:lpstr>
      <vt:lpstr>江凯伦</vt:lpstr>
      <vt:lpstr>陈欣诺</vt:lpstr>
      <vt:lpstr>林梓蕾</vt:lpstr>
      <vt:lpstr>陈敏华</vt:lpstr>
      <vt:lpstr>包家豪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12139</dc:creator>
  <cp:lastModifiedBy>毛立新</cp:lastModifiedBy>
  <dcterms:created xsi:type="dcterms:W3CDTF">2026-06-02T08:22:00Z</dcterms:created>
  <dcterms:modified xsi:type="dcterms:W3CDTF">2026-07-09T06:33:33Z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7FF1532D6B6C40B991FB53EBEEEC08F4_11</vt:lpwstr>
  </property>
  <property fmtid="{D5CDD505-2E9C-101B-9397-08002B2CF9AE}" pid="3" name="KSOProductBuildVer">
    <vt:lpwstr>2052-12.1.0.21915</vt:lpwstr>
  </property>
</Properties>
</file>