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毛立新" sheetId="1" r:id="rId1"/>
    <sheet name="张梦瑶" sheetId="2" r:id="rId2"/>
    <sheet name="郑志远" sheetId="3" r:id="rId3"/>
    <sheet name="何欢洁" sheetId="4" r:id="rId4"/>
    <sheet name="陈欣诺" sheetId="5" r:id="rId5"/>
    <sheet name="林梓蕾" sheetId="6" r:id="rId6"/>
    <sheet name="包家豪" sheetId="7" r:id="rId7"/>
    <sheet name="杨皓" sheetId="8" r:id="rId8"/>
  </sheets>
  <externalReferences>
    <externalReference r:id="rId9"/>
    <externalReference r:id="rId10"/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<sst xmlns="http://schemas.openxmlformats.org/spreadsheetml/2006/main" count="244" uniqueCount="51">
  <si>
    <t>利润率</t>
  </si>
  <si>
    <t>全年利润目标</t>
  </si>
  <si>
    <t>全年实际利润</t>
  </si>
  <si>
    <t>全年利润完成进度</t>
  </si>
  <si>
    <t>全年GSV目标</t>
  </si>
  <si>
    <t>全年实际GSV</t>
  </si>
  <si>
    <t>全年GSV完成进度</t>
  </si>
  <si>
    <t>时间进度</t>
  </si>
  <si>
    <t>45.3%</t>
  </si>
  <si>
    <t>全年利润率</t>
  </si>
  <si>
    <t>2026年度WB进度</t>
  </si>
  <si>
    <t>项目</t>
  </si>
  <si>
    <t>月度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</si>
  <si>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</si>
  <si>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</si>
  <si>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</si>
  <si>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</si>
  <si>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</si>
  <si>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</si>
  <si>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</si>
  <si>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</si>
  <si>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</si>
  <si>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</si>
  <si>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</si>
  <si>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</si>
  <si>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汇总</t>
  </si>
  <si>
    <t>季度</t>
  </si>
  <si>
    <t>Q1</t>
  </si>
  <si>
    <t>Q2</t>
  </si>
  <si>
    <t>Q3</t>
  </si>
  <si>
    <t>Q4</t>
  </si>
  <si>
    <t>季度财报</t>
  </si>
  <si>
    <t>季度财报进度</t>
  </si>
  <si>
    <t>目标完成情况</t>
  </si>
  <si>
    <t>月度目标
利润（人民币）</t>
  </si>
  <si>
    <t>实际利润（人民币）</t>
  </si>
  <si>
    <t>目标完成进度</t>
  </si>
  <si>
    <t>销量目标</t>
  </si>
  <si>
    <t>销量完成</t>
  </si>
  <si>
    <t>销量完成进度</t>
  </si>
  <si>
    <t>实销目标</t>
  </si>
  <si>
    <t>实销完成</t>
  </si>
  <si>
    <t>实销完成进度</t>
  </si>
  <si>
    <t>GMV目标</t>
  </si>
  <si>
    <t>GMV完成</t>
  </si>
  <si>
    <t>GMV完成进度</t>
  </si>
  <si>
    <t>GSV目标</t>
  </si>
  <si>
    <t>GSV完成</t>
  </si>
  <si>
    <t>GSV完成进度</t>
  </si>
  <si>
    <t>退款率</t>
  </si>
  <si>
    <t>退货率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</si>
</sst>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&quot;￥&quot;#,##0_);[Red]\(&quot;￥&quot;#,##0\)"/>
    <numFmt numFmtId="178" formatCode="0_ "/>
    <numFmt numFmtId="179" formatCode="#,##0[$₽-419];[Red]\-#,##0[$₽-419]"/>
    <numFmt numFmtId="180" formatCode="0.00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4"/>
      <color theme="1"/>
      <name val="宋体"/>
      <charset val="134"/>
      <scheme val="maj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1" borderId="27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8">
      <alignment vertical="center"/>
    </xf>
    <xf numFmtId="0" fontId="15" fillId="0" borderId="28">
      <alignment vertical="center"/>
    </xf>
    <xf numFmtId="0" fontId="16" fillId="0" borderId="29">
      <alignment vertical="center"/>
    </xf>
    <xf numFmtId="0" fontId="16" fillId="0" borderId="0">
      <alignment vertical="center"/>
    </xf>
    <xf numFmtId="0" fontId="17" fillId="12" borderId="30">
      <alignment vertical="center"/>
    </xf>
    <xf numFmtId="0" fontId="18" fillId="13" borderId="31">
      <alignment vertical="center"/>
    </xf>
    <xf numFmtId="0" fontId="19" fillId="13" borderId="30">
      <alignment vertical="center"/>
    </xf>
    <xf numFmtId="0" fontId="20" fillId="14" borderId="32">
      <alignment vertical="center"/>
    </xf>
    <xf numFmtId="0" fontId="21" fillId="0" borderId="33">
      <alignment vertical="center"/>
    </xf>
    <xf numFmtId="0" fontId="22" fillId="0" borderId="34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  <xf numFmtId="0" fontId="26" fillId="38" borderId="0">
      <alignment vertical="center"/>
    </xf>
    <xf numFmtId="0" fontId="27" fillId="39" borderId="0">
      <alignment vertical="center"/>
    </xf>
    <xf numFmtId="0" fontId="27" fillId="40" borderId="0">
      <alignment vertical="center"/>
    </xf>
    <xf numFmtId="0" fontId="26" fillId="41" borderId="0">
      <alignment vertical="center"/>
    </xf>
  </cellStyleXfs>
  <cellXfs count="78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176" fontId="1" fillId="2" borderId="1" xfId="0" applyNumberFormat="1" applyFont="1" applyFill="1" applyBorder="1" applyAlignment="1">
      <alignment horizontal="center" vertical="center"/>
    </xf>
    <xf numFmtId="0" fontId="0" fillId="0" borderId="5" xfId="0" applyBorder="1" applyAlignment="1"/>
    <xf numFmtId="9" fontId="1" fillId="0" borderId="1" xfId="3" applyFont="1" applyBorder="1" applyAlignment="1">
      <alignment horizontal="center" vertical="center"/>
    </xf>
    <xf numFmtId="10" fontId="1" fillId="2" borderId="1" xfId="3" applyNumberFormat="1" applyFont="1" applyFill="1" applyBorder="1" applyAlignment="1">
      <alignment horizontal="center" vertical="center"/>
    </xf>
    <xf numFmtId="10" fontId="1" fillId="3" borderId="1" xfId="3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0" fontId="1" fillId="7" borderId="1" xfId="3" applyNumberFormat="1" applyFont="1" applyFill="1" applyBorder="1" applyAlignment="1">
      <alignment horizontal="center" vertical="center"/>
    </xf>
    <xf numFmtId="10" fontId="1" fillId="8" borderId="1" xfId="3" applyNumberFormat="1" applyFont="1" applyFill="1" applyBorder="1" applyAlignment="1">
      <alignment horizontal="center" vertical="center"/>
    </xf>
    <xf numFmtId="177" fontId="2" fillId="9" borderId="1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178" fontId="2" fillId="9" borderId="1" xfId="0" applyNumberFormat="1" applyFont="1" applyFill="1" applyBorder="1" applyAlignment="1">
      <alignment horizontal="center" vertical="center"/>
    </xf>
    <xf numFmtId="179" fontId="2" fillId="9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180" fontId="5" fillId="10" borderId="1" xfId="0" applyNumberFormat="1" applyFont="1" applyFill="1" applyBorder="1" applyAlignment="1">
      <alignment horizontal="center" vertical="center"/>
    </xf>
    <xf numFmtId="178" fontId="5" fillId="1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180" fontId="4" fillId="10" borderId="17" xfId="0" applyNumberFormat="1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4" fillId="0" borderId="20" xfId="0" applyFont="1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0" fontId="4" fillId="0" borderId="23" xfId="0" applyFont="1" applyBorder="1" applyAlignment="1">
      <alignment horizontal="center" vertical="center"/>
    </xf>
    <xf numFmtId="180" fontId="5" fillId="10" borderId="23" xfId="0" applyNumberFormat="1" applyFont="1" applyFill="1" applyBorder="1" applyAlignment="1">
      <alignment horizontal="center" vertical="center"/>
    </xf>
    <xf numFmtId="9" fontId="1" fillId="0" borderId="0" xfId="3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8" borderId="1" xfId="0" applyNumberFormat="1" applyFont="1" applyFill="1" applyBorder="1" applyAlignment="1">
      <alignment horizontal="center" vertical="center"/>
    </xf>
    <xf numFmtId="9" fontId="1" fillId="0" borderId="0" xfId="3" applyFont="1" applyAlignment="1">
      <alignment vertical="center"/>
    </xf>
    <xf numFmtId="0" fontId="1" fillId="0" borderId="0" xfId="3" applyNumberFormat="1" applyFont="1" applyAlignment="1">
      <alignment vertical="center"/>
    </xf>
    <xf numFmtId="10" fontId="1" fillId="0" borderId="0" xfId="3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/>
    <xf numFmtId="176" fontId="0" fillId="0" borderId="1" xfId="0" applyNumberForma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76" fontId="8" fillId="10" borderId="1" xfId="0" applyNumberFormat="1" applyFont="1" applyFill="1" applyBorder="1" applyAlignment="1">
      <alignment horizontal="center" vertical="center"/>
    </xf>
    <xf numFmtId="0" fontId="0" fillId="0" borderId="25" xfId="0" applyBorder="1" applyAlignment="1"/>
    <xf numFmtId="0" fontId="0" fillId="0" borderId="26" xfId="0" applyBorder="1" applyAlignment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139\WPSDrive\1725300681\WPS&#20225;&#19994;&#20113;&#30424;\&#29790;&#23433;&#24066;&#27700;&#28404;&#30005;&#23376;&#21830;&#21153;&#26377;&#38480;&#20844;&#21496;\&#22242;&#38431;&#25991;&#26723;\&#20420;&#32599;&#26031;&#36816;&#33829;&#20108;&#37096;\&#31435;&#26032;\2026WB&#24180;&#35268;&#36827;&#2423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139\WPSDrive\1725300681\WPS&#20225;&#19994;&#20113;&#30424;\&#29790;&#23433;&#24066;&#27700;&#28404;&#30005;&#23376;&#21830;&#21153;&#26377;&#38480;&#20844;&#21496;\&#22242;&#38431;&#25991;&#26723;\&#20420;&#32599;&#26031;&#36816;&#33829;&#20108;&#37096;\&#26790;&#29814;\2026WB&#24180;&#35268;&#36827;&#24230;-&#26790;&#2981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139\WPSDrive\1725300681\WPS&#20225;&#19994;&#20113;&#30424;\&#29790;&#23433;&#24066;&#27700;&#28404;&#30005;&#23376;&#21830;&#21153;&#26377;&#38480;&#20844;&#21496;\&#22242;&#38431;&#25991;&#26723;\&#20420;&#32599;&#26031;&#36816;&#33829;&#19968;&#37096;\WB&#36816;&#33829;&#25253;&#34920;\&#30446;&#26631;\2026&#24180;&#20420;&#32599;&#26031;&#19968;&#37096;&#30446;&#26631;&#25286;&#2099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周度汇总分析报告"/>
      <sheetName val="2026年度男装汇总分析"/>
      <sheetName val="2026年度总数据汇总"/>
      <sheetName val="2026年月度数据汇总--俄罗斯"/>
      <sheetName val="2026年数据登记--俄罗斯"/>
      <sheetName val="2026目标拆解--俄罗斯"/>
      <sheetName val="特别隐藏版（勿动、勿看）"/>
      <sheetName val="思琪版"/>
      <sheetName val="2025年度数据"/>
      <sheetName val="2025年数据源"/>
    </sheetNames>
    <sheetDataSet>
      <sheetData sheetId="0"/>
      <sheetData sheetId="1">
        <row r="4">
          <cell r="C4">
            <v>935295.04</v>
          </cell>
        </row>
        <row r="4">
          <cell r="F4">
            <v>698610.823760655</v>
          </cell>
        </row>
        <row r="4">
          <cell r="I4">
            <v>0</v>
          </cell>
        </row>
        <row r="4">
          <cell r="L4">
            <v>0</v>
          </cell>
        </row>
        <row r="5">
          <cell r="C5">
            <v>0.725215936135818</v>
          </cell>
        </row>
        <row r="5">
          <cell r="F5">
            <v>0.420051351495379</v>
          </cell>
        </row>
        <row r="5">
          <cell r="I5">
            <v>0</v>
          </cell>
        </row>
        <row r="5">
          <cell r="L5">
            <v>0</v>
          </cell>
        </row>
        <row r="6">
          <cell r="C6">
            <v>335792.794830819</v>
          </cell>
          <cell r="D6">
            <v>495821.970600399</v>
          </cell>
          <cell r="E6">
            <v>546265.878674808</v>
          </cell>
          <cell r="F6">
            <v>614961.359102038</v>
          </cell>
          <cell r="G6">
            <v>531399.518028897</v>
          </cell>
          <cell r="H6">
            <v>549112.835296526</v>
          </cell>
          <cell r="I6">
            <v>691873.249103936</v>
          </cell>
          <cell r="J6">
            <v>669554.757197358</v>
          </cell>
          <cell r="K6">
            <v>667313.309995024</v>
          </cell>
          <cell r="L6">
            <v>619182.362865127</v>
          </cell>
          <cell r="M6">
            <v>639821.774960632</v>
          </cell>
          <cell r="N6">
            <v>358899.96389988</v>
          </cell>
        </row>
        <row r="10">
          <cell r="C10">
            <v>20440</v>
          </cell>
          <cell r="D10">
            <v>30070</v>
          </cell>
          <cell r="E10">
            <v>33000</v>
          </cell>
          <cell r="F10">
            <v>37200</v>
          </cell>
          <cell r="G10">
            <v>32100</v>
          </cell>
          <cell r="H10">
            <v>33170</v>
          </cell>
          <cell r="I10">
            <v>41850</v>
          </cell>
          <cell r="J10">
            <v>40500</v>
          </cell>
          <cell r="K10">
            <v>40300</v>
          </cell>
          <cell r="L10">
            <v>37500</v>
          </cell>
          <cell r="M10">
            <v>38750</v>
          </cell>
          <cell r="N10">
            <v>21700</v>
          </cell>
        </row>
        <row r="14">
          <cell r="C14">
            <v>6897.35764350642</v>
          </cell>
          <cell r="D14">
            <v>10111.6874213955</v>
          </cell>
          <cell r="E14">
            <v>11086.2267444023</v>
          </cell>
          <cell r="F14">
            <v>12472.0552607735</v>
          </cell>
          <cell r="G14">
            <v>10728.7647155245</v>
          </cell>
          <cell r="H14">
            <v>11086.390206042</v>
          </cell>
          <cell r="I14">
            <v>13984.8055722318</v>
          </cell>
          <cell r="J14">
            <v>13533.6828118373</v>
          </cell>
          <cell r="K14">
            <v>13410.0089029832</v>
          </cell>
          <cell r="L14">
            <v>12490.9058483349</v>
          </cell>
          <cell r="M14">
            <v>12907.2693766127</v>
          </cell>
          <cell r="N14">
            <v>7213.14826393716</v>
          </cell>
        </row>
        <row r="18">
          <cell r="C18">
            <v>80493092.3882099</v>
          </cell>
          <cell r="D18">
            <v>119089072.754788</v>
          </cell>
          <cell r="E18">
            <v>131407647.769309</v>
          </cell>
          <cell r="F18">
            <v>147885532.814373</v>
          </cell>
          <cell r="G18">
            <v>127926788.132262</v>
          </cell>
          <cell r="H18">
            <v>132191014.403337</v>
          </cell>
          <cell r="I18">
            <v>166757115.903943</v>
          </cell>
          <cell r="J18">
            <v>161377854.10059</v>
          </cell>
          <cell r="K18">
            <v>160880813.862657</v>
          </cell>
          <cell r="L18">
            <v>149498436.887819</v>
          </cell>
          <cell r="M18">
            <v>154481718.117413</v>
          </cell>
          <cell r="N18">
            <v>86489221.9910386</v>
          </cell>
        </row>
        <row r="22">
          <cell r="C22">
            <v>2071988.2707281</v>
          </cell>
          <cell r="D22">
            <v>3065494.8716562</v>
          </cell>
          <cell r="E22">
            <v>3382589.69538433</v>
          </cell>
          <cell r="F22">
            <v>3806750.1236496</v>
          </cell>
          <cell r="G22">
            <v>3292988.21374131</v>
          </cell>
          <cell r="H22">
            <v>3402754.48753268</v>
          </cell>
          <cell r="I22">
            <v>4292527.19658247</v>
          </cell>
          <cell r="J22">
            <v>4154058.57733787</v>
          </cell>
          <cell r="K22">
            <v>4141264.16837033</v>
          </cell>
          <cell r="L22">
            <v>3848268.19958426</v>
          </cell>
          <cell r="M22">
            <v>3976543.80623707</v>
          </cell>
          <cell r="N22">
            <v>2226335.80339472</v>
          </cell>
        </row>
      </sheetData>
      <sheetData sheetId="2"/>
      <sheetData sheetId="3"/>
      <sheetData sheetId="4"/>
      <sheetData sheetId="5"/>
      <sheetData sheetId="6">
        <row r="1">
          <cell r="A1" t="str">
            <v>2026年度WB进度</v>
          </cell>
        </row>
        <row r="2">
          <cell r="A2" t="str">
            <v>项目</v>
          </cell>
          <cell r="B2" t="str">
            <v>月度</v>
          </cell>
          <cell r="C2" t="str">
            <v>2月</v>
          </cell>
          <cell r="D2" t="str">
            <v>3月</v>
          </cell>
          <cell r="E2" t="str">
            <v>4月</v>
          </cell>
          <cell r="F2" t="str">
            <v>5月</v>
          </cell>
          <cell r="G2" t="str">
            <v>6月</v>
          </cell>
          <cell r="H2" t="str">
            <v>7月</v>
          </cell>
          <cell r="I2" t="str">
            <v>8月</v>
          </cell>
          <cell r="J2" t="str">
            <v>9月</v>
          </cell>
          <cell r="K2" t="str">
            <v>10月</v>
          </cell>
          <cell r="L2" t="str">
            <v>11月</v>
          </cell>
          <cell r="M2" t="str">
            <v>12月</v>
          </cell>
          <cell r="N2" t="str">
            <v>1月</v>
          </cell>
          <cell r="O2" t="str">
            <v>汇总</v>
          </cell>
        </row>
        <row r="3">
          <cell r="B3" t="str">
            <v>季度</v>
          </cell>
          <cell r="C3" t="str">
            <v>Q1</v>
          </cell>
        </row>
        <row r="3">
          <cell r="F3" t="str">
            <v>Q2</v>
          </cell>
        </row>
        <row r="3">
          <cell r="I3" t="str">
            <v>Q3</v>
          </cell>
        </row>
        <row r="3">
          <cell r="L3" t="str">
            <v>Q4</v>
          </cell>
        </row>
        <row r="4">
          <cell r="B4" t="str">
            <v>季度财报</v>
          </cell>
        </row>
        <row r="5">
          <cell r="B5" t="str">
            <v>季度财报进度</v>
          </cell>
        </row>
        <row r="6">
          <cell r="A6" t="str">
            <v>目标完成情况</v>
          </cell>
          <cell r="B6" t="str">
            <v>月度目标
利润（人民币）</v>
          </cell>
        </row>
        <row r="7">
          <cell r="B7" t="str">
            <v>实际利润（人民币）</v>
          </cell>
        </row>
        <row r="8">
          <cell r="B8" t="str">
            <v>目标完成进度</v>
          </cell>
        </row>
        <row r="10">
          <cell r="B10" t="str">
            <v>销量目标</v>
          </cell>
        </row>
        <row r="11">
          <cell r="B11" t="str">
            <v>销量完成</v>
          </cell>
        </row>
        <row r="12">
          <cell r="B12" t="str">
            <v>销量完成进度</v>
          </cell>
        </row>
        <row r="14">
          <cell r="B14" t="str">
            <v>实销目标</v>
          </cell>
        </row>
        <row r="14">
          <cell r="O14">
            <v>134432.16899354</v>
          </cell>
        </row>
        <row r="15">
          <cell r="B15" t="str">
            <v>实销完成</v>
          </cell>
        </row>
        <row r="16">
          <cell r="B16" t="str">
            <v>实销完成进度</v>
          </cell>
        </row>
        <row r="18">
          <cell r="B18" t="str">
            <v>GMV目标</v>
          </cell>
        </row>
        <row r="18">
          <cell r="O18">
            <v>1702896506.80041</v>
          </cell>
        </row>
        <row r="19">
          <cell r="B19" t="str">
            <v>GMV完成</v>
          </cell>
        </row>
        <row r="20">
          <cell r="B20" t="str">
            <v>GMV完成进度</v>
          </cell>
        </row>
        <row r="22">
          <cell r="B22" t="str">
            <v>GSV目标</v>
          </cell>
        </row>
        <row r="22">
          <cell r="O22">
            <v>43834588.5798161</v>
          </cell>
        </row>
        <row r="23">
          <cell r="B23" t="str">
            <v>GSV完成</v>
          </cell>
        </row>
        <row r="24">
          <cell r="B24" t="str">
            <v>GSV完成进度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周度汇总分析报告"/>
      <sheetName val="2026年度男装数据汇总分析--俄罗斯"/>
      <sheetName val="2026年月度数据汇总--俄罗斯"/>
      <sheetName val="2026年数据登记--俄罗斯"/>
      <sheetName val="2026目标拆解--俄罗斯"/>
      <sheetName val="2026目标拆解--俄罗斯 --实时调整"/>
      <sheetName val="2026目标拆解--郑志远"/>
      <sheetName val="2026目标拆解--何欢洁"/>
      <sheetName val="2026年度总数据汇总--俄罗斯"/>
      <sheetName val="2026目标拆解--俄罗斯-1"/>
      <sheetName val="2025年度数据"/>
      <sheetName val="2025年数据源"/>
    </sheetNames>
    <sheetDataSet>
      <sheetData sheetId="0"/>
      <sheetData sheetId="1">
        <row r="1">
          <cell r="A1" t="str">
            <v>2026年度WB男装进度</v>
          </cell>
        </row>
        <row r="2">
          <cell r="A2" t="str">
            <v>项目</v>
          </cell>
          <cell r="B2" t="str">
            <v>月度</v>
          </cell>
          <cell r="C2" t="str">
            <v>2月</v>
          </cell>
          <cell r="D2" t="str">
            <v>3月</v>
          </cell>
          <cell r="E2" t="str">
            <v>4月</v>
          </cell>
          <cell r="F2" t="str">
            <v>5月</v>
          </cell>
          <cell r="G2" t="str">
            <v>6月</v>
          </cell>
          <cell r="H2" t="str">
            <v>7月</v>
          </cell>
          <cell r="I2" t="str">
            <v>8月</v>
          </cell>
          <cell r="J2" t="str">
            <v>9月</v>
          </cell>
          <cell r="K2" t="str">
            <v>10月</v>
          </cell>
          <cell r="L2" t="str">
            <v>11月</v>
          </cell>
          <cell r="M2" t="str">
            <v>12月</v>
          </cell>
          <cell r="N2" t="str">
            <v>1月</v>
          </cell>
          <cell r="O2" t="str">
            <v>汇总</v>
          </cell>
        </row>
        <row r="3">
          <cell r="B3" t="str">
            <v>季度</v>
          </cell>
          <cell r="C3" t="str">
            <v>Q1</v>
          </cell>
        </row>
        <row r="3">
          <cell r="F3" t="str">
            <v>Q2</v>
          </cell>
        </row>
        <row r="3">
          <cell r="I3" t="str">
            <v>Q3</v>
          </cell>
        </row>
        <row r="3">
          <cell r="L3" t="str">
            <v>Q4</v>
          </cell>
        </row>
        <row r="4">
          <cell r="B4" t="str">
            <v>季度财报</v>
          </cell>
        </row>
        <row r="5">
          <cell r="B5" t="str">
            <v>季度财报进度</v>
          </cell>
        </row>
        <row r="6">
          <cell r="A6" t="str">
            <v>目标完成情况</v>
          </cell>
          <cell r="B6" t="str">
            <v>月度目标
利润（人民币）</v>
          </cell>
          <cell r="C6">
            <v>445623.087260062</v>
          </cell>
          <cell r="D6">
            <v>485784.484418571</v>
          </cell>
          <cell r="E6">
            <v>449911.442788257</v>
          </cell>
          <cell r="F6">
            <v>464012.748298979</v>
          </cell>
          <cell r="G6">
            <v>543194.4</v>
          </cell>
          <cell r="H6">
            <v>606700.0576</v>
          </cell>
          <cell r="I6">
            <v>811749.7808</v>
          </cell>
          <cell r="J6">
            <v>972333.6</v>
          </cell>
          <cell r="K6">
            <v>1119372.8</v>
          </cell>
          <cell r="L6">
            <v>1129094.4</v>
          </cell>
          <cell r="M6">
            <v>1025732.96</v>
          </cell>
          <cell r="N6">
            <v>701760.64</v>
          </cell>
          <cell r="O6">
            <v>8755270.40116587</v>
          </cell>
        </row>
        <row r="7">
          <cell r="B7" t="str">
            <v>实际利润（人民币）</v>
          </cell>
        </row>
        <row r="8">
          <cell r="B8" t="str">
            <v>目标完成进度</v>
          </cell>
        </row>
        <row r="10">
          <cell r="B10" t="str">
            <v>销量目标</v>
          </cell>
          <cell r="C10">
            <v>29092</v>
          </cell>
          <cell r="D10">
            <v>31620</v>
          </cell>
          <cell r="E10">
            <v>29700</v>
          </cell>
          <cell r="F10">
            <v>31930</v>
          </cell>
          <cell r="G10">
            <v>36000</v>
          </cell>
          <cell r="H10">
            <v>40207</v>
          </cell>
          <cell r="I10">
            <v>53723</v>
          </cell>
          <cell r="J10">
            <v>64500</v>
          </cell>
          <cell r="K10">
            <v>74400</v>
          </cell>
          <cell r="L10">
            <v>75000</v>
          </cell>
          <cell r="M10">
            <v>68200</v>
          </cell>
          <cell r="N10">
            <v>46500</v>
          </cell>
          <cell r="O10">
            <v>580872</v>
          </cell>
        </row>
        <row r="11">
          <cell r="B11" t="str">
            <v>销量完成</v>
          </cell>
        </row>
        <row r="12">
          <cell r="B12" t="str">
            <v>销量完成进度</v>
          </cell>
        </row>
        <row r="14">
          <cell r="B14" t="str">
            <v>实销目标</v>
          </cell>
          <cell r="C14">
            <v>9018.52</v>
          </cell>
          <cell r="D14">
            <v>9802.2</v>
          </cell>
          <cell r="E14">
            <v>9207</v>
          </cell>
          <cell r="F14">
            <v>9898.3</v>
          </cell>
          <cell r="G14">
            <v>11160</v>
          </cell>
          <cell r="H14">
            <v>12464.17</v>
          </cell>
          <cell r="I14">
            <v>16654.13</v>
          </cell>
          <cell r="J14">
            <v>19995</v>
          </cell>
          <cell r="K14">
            <v>23064</v>
          </cell>
          <cell r="L14">
            <v>23250</v>
          </cell>
          <cell r="M14">
            <v>21142</v>
          </cell>
          <cell r="N14">
            <v>14415</v>
          </cell>
          <cell r="O14">
            <v>180070.32</v>
          </cell>
        </row>
        <row r="15">
          <cell r="B15" t="str">
            <v>实销完成</v>
          </cell>
        </row>
        <row r="16">
          <cell r="B16" t="str">
            <v>实销完成进度</v>
          </cell>
        </row>
        <row r="18">
          <cell r="B18" t="str">
            <v>GMV目标</v>
          </cell>
          <cell r="C18">
            <v>10045504</v>
          </cell>
          <cell r="D18">
            <v>10983920</v>
          </cell>
          <cell r="E18">
            <v>10324800</v>
          </cell>
          <cell r="F18">
            <v>11127760</v>
          </cell>
          <cell r="G18">
            <v>12516000</v>
          </cell>
          <cell r="H18">
            <v>13979264</v>
          </cell>
          <cell r="I18">
            <v>18703912</v>
          </cell>
          <cell r="J18">
            <v>22404000</v>
          </cell>
          <cell r="K18">
            <v>25792000</v>
          </cell>
          <cell r="L18">
            <v>26016000</v>
          </cell>
          <cell r="M18">
            <v>23634400</v>
          </cell>
          <cell r="N18">
            <v>16169600</v>
          </cell>
          <cell r="O18">
            <v>201697160</v>
          </cell>
        </row>
        <row r="19">
          <cell r="B19" t="str">
            <v>GMV完成</v>
          </cell>
        </row>
        <row r="20">
          <cell r="B20" t="str">
            <v>GMV完成进度</v>
          </cell>
        </row>
        <row r="22">
          <cell r="B22" t="str">
            <v>GSV目标</v>
          </cell>
          <cell r="C22">
            <v>3214561.28</v>
          </cell>
          <cell r="D22">
            <v>3514854.4</v>
          </cell>
          <cell r="E22">
            <v>3303936</v>
          </cell>
          <cell r="F22">
            <v>3560883.2</v>
          </cell>
          <cell r="G22">
            <v>4005120</v>
          </cell>
          <cell r="H22">
            <v>4473364.48</v>
          </cell>
          <cell r="I22">
            <v>5985251.84</v>
          </cell>
          <cell r="J22">
            <v>7169280</v>
          </cell>
          <cell r="K22">
            <v>8253440</v>
          </cell>
          <cell r="L22">
            <v>8325120</v>
          </cell>
          <cell r="M22">
            <v>7563008</v>
          </cell>
          <cell r="N22">
            <v>5174272</v>
          </cell>
          <cell r="O22">
            <v>64543091.2</v>
          </cell>
        </row>
        <row r="23">
          <cell r="B23" t="str">
            <v>GSV完成</v>
          </cell>
        </row>
        <row r="24">
          <cell r="B24" t="str">
            <v>GSV完成进度</v>
          </cell>
        </row>
        <row r="26">
          <cell r="B26" t="str">
            <v>退款率</v>
          </cell>
        </row>
        <row r="27">
          <cell r="B27" t="str">
            <v>退货率</v>
          </cell>
        </row>
        <row r="28">
          <cell r="B28" t="str">
            <v>利润率</v>
          </cell>
        </row>
      </sheetData>
      <sheetData sheetId="2"/>
      <sheetData sheetId="3"/>
      <sheetData sheetId="4"/>
      <sheetData sheetId="5"/>
      <sheetData sheetId="6">
        <row r="4">
          <cell r="B4">
            <v>329446.831260062</v>
          </cell>
          <cell r="C4">
            <v>370713.476418571</v>
          </cell>
          <cell r="D4">
            <v>348418.322788257</v>
          </cell>
          <cell r="E4">
            <v>325684.300298979</v>
          </cell>
          <cell r="F4">
            <v>340082.4</v>
          </cell>
          <cell r="G4">
            <v>373138.6176</v>
          </cell>
          <cell r="H4">
            <v>530830.2608</v>
          </cell>
          <cell r="I4">
            <v>611940</v>
          </cell>
          <cell r="J4">
            <v>655478.88</v>
          </cell>
          <cell r="K4">
            <v>680164.8</v>
          </cell>
          <cell r="L4">
            <v>656555.2</v>
          </cell>
          <cell r="M4">
            <v>468199.2</v>
          </cell>
        </row>
        <row r="5">
          <cell r="B5">
            <v>21252</v>
          </cell>
          <cell r="C5">
            <v>23560</v>
          </cell>
          <cell r="D5">
            <v>22500</v>
          </cell>
          <cell r="E5">
            <v>21700</v>
          </cell>
          <cell r="F5">
            <v>22500</v>
          </cell>
          <cell r="G5">
            <v>24707</v>
          </cell>
          <cell r="H5">
            <v>35123</v>
          </cell>
          <cell r="I5">
            <v>40500</v>
          </cell>
          <cell r="J5">
            <v>43400</v>
          </cell>
          <cell r="K5">
            <v>45000</v>
          </cell>
          <cell r="L5">
            <v>43400</v>
          </cell>
          <cell r="M5">
            <v>31000</v>
          </cell>
        </row>
        <row r="6">
          <cell r="B6">
            <v>6588.12</v>
          </cell>
          <cell r="C6">
            <v>7303.6</v>
          </cell>
          <cell r="D6">
            <v>6975</v>
          </cell>
          <cell r="E6">
            <v>6727</v>
          </cell>
          <cell r="F6">
            <v>6975</v>
          </cell>
          <cell r="G6">
            <v>7659.17</v>
          </cell>
          <cell r="H6">
            <v>10888.13</v>
          </cell>
          <cell r="I6">
            <v>12555</v>
          </cell>
          <cell r="J6">
            <v>13454</v>
          </cell>
          <cell r="K6">
            <v>13950</v>
          </cell>
          <cell r="L6">
            <v>13454</v>
          </cell>
          <cell r="M6">
            <v>9610</v>
          </cell>
        </row>
        <row r="8">
          <cell r="B8">
            <v>92836800</v>
          </cell>
          <cell r="C8">
            <v>103044000</v>
          </cell>
          <cell r="D8">
            <v>98280000</v>
          </cell>
          <cell r="E8">
            <v>94550000</v>
          </cell>
          <cell r="F8">
            <v>97950000</v>
          </cell>
          <cell r="G8">
            <v>107470800</v>
          </cell>
          <cell r="H8">
            <v>152888900</v>
          </cell>
          <cell r="I8">
            <v>176250000</v>
          </cell>
          <cell r="J8">
            <v>188790000</v>
          </cell>
          <cell r="K8">
            <v>195900000</v>
          </cell>
          <cell r="L8">
            <v>189100000</v>
          </cell>
          <cell r="M8">
            <v>134850000</v>
          </cell>
        </row>
      </sheetData>
      <sheetData sheetId="7">
        <row r="4">
          <cell r="B4">
            <v>116176.256</v>
          </cell>
          <cell r="C4">
            <v>115071.008</v>
          </cell>
          <cell r="D4">
            <v>101493.12</v>
          </cell>
          <cell r="E4">
            <v>138328.448</v>
          </cell>
          <cell r="F4">
            <v>203112</v>
          </cell>
          <cell r="G4">
            <v>233561.44</v>
          </cell>
          <cell r="H4">
            <v>280919.52</v>
          </cell>
          <cell r="I4">
            <v>360393.6</v>
          </cell>
          <cell r="J4">
            <v>463893.92</v>
          </cell>
          <cell r="K4">
            <v>448929.6</v>
          </cell>
          <cell r="L4">
            <v>369177.76</v>
          </cell>
          <cell r="M4">
            <v>233561.44</v>
          </cell>
        </row>
        <row r="5">
          <cell r="B5">
            <v>7840</v>
          </cell>
          <cell r="C5">
            <v>8060</v>
          </cell>
          <cell r="D5">
            <v>7200</v>
          </cell>
          <cell r="E5">
            <v>10230</v>
          </cell>
          <cell r="F5">
            <v>13500</v>
          </cell>
          <cell r="G5">
            <v>15500</v>
          </cell>
          <cell r="H5">
            <v>18600</v>
          </cell>
          <cell r="I5">
            <v>24000</v>
          </cell>
          <cell r="J5">
            <v>31000</v>
          </cell>
          <cell r="K5">
            <v>30000</v>
          </cell>
          <cell r="L5">
            <v>24800</v>
          </cell>
          <cell r="M5">
            <v>15500</v>
          </cell>
        </row>
        <row r="6">
          <cell r="B6">
            <v>2430.4</v>
          </cell>
          <cell r="C6">
            <v>2498.6</v>
          </cell>
          <cell r="D6">
            <v>2232</v>
          </cell>
          <cell r="E6">
            <v>3171.3</v>
          </cell>
          <cell r="F6">
            <v>4185</v>
          </cell>
          <cell r="G6">
            <v>4805</v>
          </cell>
          <cell r="H6">
            <v>5766</v>
          </cell>
          <cell r="I6">
            <v>7440</v>
          </cell>
          <cell r="J6">
            <v>9610</v>
          </cell>
          <cell r="K6">
            <v>9300</v>
          </cell>
          <cell r="L6">
            <v>7688</v>
          </cell>
          <cell r="M6">
            <v>4805</v>
          </cell>
        </row>
        <row r="8">
          <cell r="B8">
            <v>32732000</v>
          </cell>
          <cell r="C8">
            <v>34255000</v>
          </cell>
          <cell r="D8">
            <v>30780000</v>
          </cell>
          <cell r="E8">
            <v>44547000</v>
          </cell>
          <cell r="F8">
            <v>58500000</v>
          </cell>
          <cell r="G8">
            <v>67270000</v>
          </cell>
          <cell r="H8">
            <v>80910000</v>
          </cell>
          <cell r="I8">
            <v>103800000</v>
          </cell>
          <cell r="J8">
            <v>133610000</v>
          </cell>
          <cell r="K8">
            <v>129300000</v>
          </cell>
          <cell r="L8">
            <v>106330000</v>
          </cell>
          <cell r="M8">
            <v>67270000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总目标"/>
      <sheetName val="江凯伦"/>
      <sheetName val="陈敏华--作废"/>
      <sheetName val="敏华新"/>
      <sheetName val="包家豪"/>
      <sheetName val="杨皓"/>
      <sheetName val="陈欣诺"/>
      <sheetName val="林梓蕾"/>
      <sheetName val="周度汇总分析报告"/>
      <sheetName val="m"/>
      <sheetName val="mu"/>
      <sheetName val="muz"/>
      <sheetName val="muzo"/>
      <sheetName val="muzon"/>
      <sheetName val="muzong"/>
      <sheetName val="muzongb"/>
      <sheetName val="muzongbi"/>
      <sheetName val="muzongbia"/>
      <sheetName val="muzongbiao"/>
      <sheetName val="总"/>
      <sheetName val="总目"/>
      <sheetName val="mi"/>
      <sheetName val="min"/>
      <sheetName val="minh"/>
      <sheetName val="minhu"/>
      <sheetName val="minhua"/>
      <sheetName val="敏华"/>
      <sheetName val="敏华x"/>
      <sheetName val="敏华xi"/>
      <sheetName val="敏华xin"/>
      <sheetName val="陈"/>
      <sheetName val="陈欣"/>
      <sheetName val="林"/>
      <sheetName val="林梓"/>
      <sheetName val="包"/>
      <sheetName val="包家"/>
      <sheetName val="杨"/>
    </sheetNames>
    <sheetDataSet>
      <sheetData sheetId="0">
        <row r="31">
          <cell r="B31">
            <v>249399.554098361</v>
          </cell>
          <cell r="C31">
            <v>359988.363934426</v>
          </cell>
          <cell r="D31">
            <v>283015.081967213</v>
          </cell>
          <cell r="E31">
            <v>292149.336065573</v>
          </cell>
          <cell r="F31">
            <v>251744.803278688</v>
          </cell>
          <cell r="G31">
            <v>343899.516393443</v>
          </cell>
          <cell r="H31">
            <v>432694.442622951</v>
          </cell>
          <cell r="I31">
            <v>416424.590163934</v>
          </cell>
          <cell r="J31">
            <v>396103.770491803</v>
          </cell>
          <cell r="K31">
            <v>385857.049180328</v>
          </cell>
          <cell r="L31">
            <v>398718.950819672</v>
          </cell>
          <cell r="M31">
            <v>262747.868852459</v>
          </cell>
        </row>
        <row r="44">
          <cell r="B44">
            <v>372843</v>
          </cell>
          <cell r="C44">
            <v>566214.491803279</v>
          </cell>
          <cell r="D44">
            <v>425981.18852459</v>
          </cell>
          <cell r="E44">
            <v>428093.165983607</v>
          </cell>
          <cell r="F44">
            <v>438328.647540984</v>
          </cell>
          <cell r="G44">
            <v>376625.606557377</v>
          </cell>
          <cell r="H44">
            <v>516638.599385246</v>
          </cell>
          <cell r="I44">
            <v>499972.838114754</v>
          </cell>
          <cell r="J44">
            <v>490032.5</v>
          </cell>
          <cell r="K44">
            <v>474225</v>
          </cell>
          <cell r="L44">
            <v>490032.5</v>
          </cell>
          <cell r="M44">
            <v>318392.868852459</v>
          </cell>
        </row>
        <row r="70">
          <cell r="B70">
            <v>34481</v>
          </cell>
          <cell r="C70">
            <v>86791.2971311476</v>
          </cell>
          <cell r="D70">
            <v>133954.856557377</v>
          </cell>
          <cell r="E70">
            <v>141243.464139344</v>
          </cell>
          <cell r="F70">
            <v>195306.823770492</v>
          </cell>
          <cell r="G70">
            <v>155693.126331967</v>
          </cell>
          <cell r="H70">
            <v>213216.284836066</v>
          </cell>
          <cell r="I70">
            <v>206338.340163934</v>
          </cell>
          <cell r="J70">
            <v>195186.830942623</v>
          </cell>
          <cell r="K70">
            <v>187961.834016393</v>
          </cell>
          <cell r="L70">
            <v>195186.830942623</v>
          </cell>
          <cell r="M70">
            <v>98770.5102459016</v>
          </cell>
        </row>
        <row r="82">
          <cell r="B82">
            <v>249612</v>
          </cell>
          <cell r="C82">
            <v>485112.393442623</v>
          </cell>
          <cell r="D82">
            <v>397534.426229508</v>
          </cell>
          <cell r="E82">
            <v>391039.081967214</v>
          </cell>
          <cell r="F82">
            <v>369194.754098361</v>
          </cell>
          <cell r="G82">
            <v>324188.852459017</v>
          </cell>
          <cell r="H82">
            <v>367365.245901639</v>
          </cell>
          <cell r="I82">
            <v>355514.754098361</v>
          </cell>
          <cell r="J82">
            <v>342618.098360656</v>
          </cell>
          <cell r="K82">
            <v>336998.360655738</v>
          </cell>
          <cell r="L82">
            <v>344526.885245901</v>
          </cell>
          <cell r="M82">
            <v>252862.426229508</v>
          </cell>
        </row>
      </sheetData>
      <sheetData sheetId="1"/>
      <sheetData sheetId="2"/>
      <sheetData sheetId="3"/>
      <sheetData sheetId="4">
        <row r="4">
          <cell r="B4">
            <v>42401820</v>
          </cell>
          <cell r="C4">
            <v>37308500</v>
          </cell>
          <cell r="D4">
            <v>34860000</v>
          </cell>
          <cell r="E4">
            <v>36022000</v>
          </cell>
          <cell r="F4">
            <v>50049000</v>
          </cell>
          <cell r="G4">
            <v>42840450</v>
          </cell>
          <cell r="H4">
            <v>53775700</v>
          </cell>
          <cell r="I4">
            <v>52041000</v>
          </cell>
          <cell r="J4">
            <v>50173500</v>
          </cell>
          <cell r="K4">
            <v>48306000</v>
          </cell>
          <cell r="L4">
            <v>50173500</v>
          </cell>
          <cell r="M4">
            <v>27788400</v>
          </cell>
        </row>
        <row r="5">
          <cell r="B5">
            <v>12989304</v>
          </cell>
          <cell r="C5">
            <v>11906557.5</v>
          </cell>
          <cell r="D5">
            <v>11117850</v>
          </cell>
          <cell r="E5">
            <v>11488445</v>
          </cell>
          <cell r="F5">
            <v>15979575</v>
          </cell>
          <cell r="G5">
            <v>13661986.75</v>
          </cell>
          <cell r="H5">
            <v>17161910</v>
          </cell>
          <cell r="I5">
            <v>16608300</v>
          </cell>
          <cell r="J5">
            <v>16010492.5</v>
          </cell>
          <cell r="K5">
            <v>15413100</v>
          </cell>
          <cell r="L5">
            <v>16010492.5</v>
          </cell>
          <cell r="M5">
            <v>8863985</v>
          </cell>
        </row>
        <row r="7">
          <cell r="B7">
            <v>12430</v>
          </cell>
          <cell r="C7">
            <v>8990</v>
          </cell>
          <cell r="D7">
            <v>8400</v>
          </cell>
          <cell r="E7">
            <v>8680</v>
          </cell>
          <cell r="F7">
            <v>12060</v>
          </cell>
          <cell r="G7">
            <v>10323</v>
          </cell>
          <cell r="H7">
            <v>12958</v>
          </cell>
          <cell r="I7">
            <v>12540</v>
          </cell>
          <cell r="J7">
            <v>12090</v>
          </cell>
          <cell r="K7">
            <v>11640</v>
          </cell>
          <cell r="L7">
            <v>12090</v>
          </cell>
          <cell r="M7">
            <v>6696</v>
          </cell>
        </row>
        <row r="8">
          <cell r="B8">
            <v>3858</v>
          </cell>
          <cell r="C8">
            <v>2869.05</v>
          </cell>
          <cell r="D8">
            <v>2679</v>
          </cell>
          <cell r="E8">
            <v>2768.3</v>
          </cell>
          <cell r="F8">
            <v>3850.5</v>
          </cell>
          <cell r="G8">
            <v>3292.045</v>
          </cell>
          <cell r="H8">
            <v>4135.4</v>
          </cell>
          <cell r="I8">
            <v>4002</v>
          </cell>
          <cell r="J8">
            <v>3857.95</v>
          </cell>
          <cell r="K8">
            <v>3714</v>
          </cell>
          <cell r="L8">
            <v>3857.95</v>
          </cell>
          <cell r="M8">
            <v>2135.9</v>
          </cell>
        </row>
      </sheetData>
      <sheetData sheetId="5">
        <row r="4">
          <cell r="B4">
            <v>60945529</v>
          </cell>
          <cell r="C4">
            <v>105245000</v>
          </cell>
          <cell r="D4">
            <v>93900000</v>
          </cell>
          <cell r="E4">
            <v>97045500</v>
          </cell>
          <cell r="F4">
            <v>92040000</v>
          </cell>
          <cell r="G4">
            <v>88164000</v>
          </cell>
          <cell r="H4">
            <v>82258500</v>
          </cell>
          <cell r="I4">
            <v>79605000</v>
          </cell>
          <cell r="J4">
            <v>79050000</v>
          </cell>
          <cell r="K4">
            <v>77737500</v>
          </cell>
          <cell r="L4">
            <v>80328750</v>
          </cell>
          <cell r="M4">
            <v>65541750</v>
          </cell>
        </row>
        <row r="5">
          <cell r="B5">
            <v>19257804</v>
          </cell>
          <cell r="C5">
            <v>33219600</v>
          </cell>
          <cell r="D5">
            <v>29664000</v>
          </cell>
          <cell r="E5">
            <v>30682560</v>
          </cell>
          <cell r="F5">
            <v>29116800</v>
          </cell>
          <cell r="G5">
            <v>27914880</v>
          </cell>
          <cell r="H5">
            <v>26322720</v>
          </cell>
          <cell r="I5">
            <v>25473600</v>
          </cell>
          <cell r="J5">
            <v>25296000</v>
          </cell>
          <cell r="K5">
            <v>24876000</v>
          </cell>
          <cell r="L5">
            <v>25705200</v>
          </cell>
          <cell r="M5">
            <v>20973360</v>
          </cell>
        </row>
        <row r="7">
          <cell r="B7">
            <v>15652</v>
          </cell>
          <cell r="C7">
            <v>25575</v>
          </cell>
          <cell r="D7">
            <v>22800</v>
          </cell>
          <cell r="E7">
            <v>23560</v>
          </cell>
          <cell r="F7">
            <v>22350</v>
          </cell>
          <cell r="G7">
            <v>21390</v>
          </cell>
          <cell r="H7">
            <v>19840</v>
          </cell>
          <cell r="I7">
            <v>19200</v>
          </cell>
          <cell r="J7">
            <v>19065</v>
          </cell>
          <cell r="K7">
            <v>18750</v>
          </cell>
          <cell r="L7">
            <v>19375</v>
          </cell>
          <cell r="M7">
            <v>15810</v>
          </cell>
        </row>
        <row r="8">
          <cell r="B8">
            <v>4931</v>
          </cell>
          <cell r="C8">
            <v>8069.3</v>
          </cell>
          <cell r="D8">
            <v>7200</v>
          </cell>
          <cell r="E8">
            <v>7446.2</v>
          </cell>
          <cell r="F8">
            <v>7068</v>
          </cell>
          <cell r="G8">
            <v>6770.4</v>
          </cell>
          <cell r="H8">
            <v>6348.8</v>
          </cell>
          <cell r="I8">
            <v>6144</v>
          </cell>
          <cell r="J8">
            <v>6100.8</v>
          </cell>
          <cell r="K8">
            <v>6000</v>
          </cell>
          <cell r="L8">
            <v>6200</v>
          </cell>
          <cell r="M8">
            <v>5059.2</v>
          </cell>
        </row>
      </sheetData>
      <sheetData sheetId="6">
        <row r="4">
          <cell r="B4">
            <v>56082794</v>
          </cell>
          <cell r="C4">
            <v>74982800</v>
          </cell>
          <cell r="D4">
            <v>71130000</v>
          </cell>
          <cell r="E4">
            <v>76384000</v>
          </cell>
          <cell r="F4">
            <v>69642000</v>
          </cell>
          <cell r="G4">
            <v>114554300</v>
          </cell>
          <cell r="H4">
            <v>129936500</v>
          </cell>
          <cell r="I4">
            <v>116677500</v>
          </cell>
          <cell r="J4">
            <v>115064250</v>
          </cell>
          <cell r="K4">
            <v>111975000</v>
          </cell>
          <cell r="L4">
            <v>115707500</v>
          </cell>
          <cell r="M4">
            <v>86663600</v>
          </cell>
        </row>
        <row r="5">
          <cell r="B5">
            <v>18111083.2</v>
          </cell>
          <cell r="C5">
            <v>24390428</v>
          </cell>
          <cell r="D5">
            <v>23108700</v>
          </cell>
          <cell r="E5">
            <v>24759700</v>
          </cell>
          <cell r="F5">
            <v>22597020</v>
          </cell>
          <cell r="G5">
            <v>33354698</v>
          </cell>
          <cell r="H5">
            <v>37130870</v>
          </cell>
          <cell r="I5">
            <v>33128400</v>
          </cell>
          <cell r="J5">
            <v>32808540</v>
          </cell>
          <cell r="K5">
            <v>31949400</v>
          </cell>
          <cell r="L5">
            <v>33014380</v>
          </cell>
          <cell r="M5">
            <v>24586720</v>
          </cell>
        </row>
        <row r="7">
          <cell r="B7">
            <v>13608</v>
          </cell>
          <cell r="C7">
            <v>18135</v>
          </cell>
          <cell r="D7">
            <v>17250</v>
          </cell>
          <cell r="E7">
            <v>18600</v>
          </cell>
          <cell r="F7">
            <v>16950</v>
          </cell>
          <cell r="G7">
            <v>26815</v>
          </cell>
          <cell r="H7">
            <v>30225</v>
          </cell>
          <cell r="I7">
            <v>26850</v>
          </cell>
          <cell r="J7">
            <v>26505</v>
          </cell>
          <cell r="K7">
            <v>25800</v>
          </cell>
          <cell r="L7">
            <v>26660</v>
          </cell>
          <cell r="M7">
            <v>19933</v>
          </cell>
        </row>
        <row r="8">
          <cell r="B8">
            <v>4403.84</v>
          </cell>
          <cell r="C8">
            <v>5894.65</v>
          </cell>
          <cell r="D8">
            <v>5599.5</v>
          </cell>
          <cell r="E8">
            <v>6023.3</v>
          </cell>
          <cell r="F8">
            <v>5494.5</v>
          </cell>
          <cell r="G8">
            <v>7884.85</v>
          </cell>
          <cell r="H8">
            <v>8734.25</v>
          </cell>
          <cell r="I8">
            <v>7710</v>
          </cell>
          <cell r="J8">
            <v>7641.5</v>
          </cell>
          <cell r="K8">
            <v>7443</v>
          </cell>
          <cell r="L8">
            <v>7691.1</v>
          </cell>
          <cell r="M8">
            <v>5719.5</v>
          </cell>
        </row>
      </sheetData>
      <sheetData sheetId="7">
        <row r="4">
          <cell r="B4">
            <v>66868745</v>
          </cell>
          <cell r="C4">
            <v>95061500</v>
          </cell>
          <cell r="D4">
            <v>95460000</v>
          </cell>
          <cell r="E4">
            <v>97355500</v>
          </cell>
          <cell r="F4">
            <v>101805000</v>
          </cell>
          <cell r="G4">
            <v>94906500</v>
          </cell>
          <cell r="H4">
            <v>118861750</v>
          </cell>
          <cell r="I4">
            <v>115027500</v>
          </cell>
          <cell r="J4">
            <v>116870000</v>
          </cell>
          <cell r="K4">
            <v>113100000</v>
          </cell>
          <cell r="L4">
            <v>116870000</v>
          </cell>
          <cell r="M4">
            <v>84428500</v>
          </cell>
        </row>
        <row r="5">
          <cell r="B5">
            <v>21740692.4</v>
          </cell>
          <cell r="C5">
            <v>29725280</v>
          </cell>
          <cell r="D5">
            <v>29827500</v>
          </cell>
          <cell r="E5">
            <v>30422935</v>
          </cell>
          <cell r="F5">
            <v>31846650</v>
          </cell>
          <cell r="G5">
            <v>29690715</v>
          </cell>
          <cell r="H5">
            <v>37197752.5</v>
          </cell>
          <cell r="I5">
            <v>35997825</v>
          </cell>
          <cell r="J5">
            <v>36566825</v>
          </cell>
          <cell r="K5">
            <v>35387250</v>
          </cell>
          <cell r="L5">
            <v>36566825</v>
          </cell>
          <cell r="M5">
            <v>26402080</v>
          </cell>
        </row>
        <row r="7">
          <cell r="B7">
            <v>17722.7622461171</v>
          </cell>
          <cell r="C7">
            <v>22630</v>
          </cell>
          <cell r="D7">
            <v>22800</v>
          </cell>
          <cell r="E7">
            <v>23250</v>
          </cell>
          <cell r="F7">
            <v>24300</v>
          </cell>
          <cell r="G7">
            <v>22630</v>
          </cell>
          <cell r="H7">
            <v>28365</v>
          </cell>
          <cell r="I7">
            <v>27450</v>
          </cell>
          <cell r="J7">
            <v>27900</v>
          </cell>
          <cell r="K7">
            <v>27000</v>
          </cell>
          <cell r="L7">
            <v>27900</v>
          </cell>
          <cell r="M7">
            <v>20150</v>
          </cell>
        </row>
        <row r="8">
          <cell r="B8">
            <v>5752.7762962963</v>
          </cell>
          <cell r="C8">
            <v>7074.2</v>
          </cell>
          <cell r="D8">
            <v>7122</v>
          </cell>
          <cell r="E8">
            <v>7263.3</v>
          </cell>
          <cell r="F8">
            <v>7599</v>
          </cell>
          <cell r="G8">
            <v>7077.3</v>
          </cell>
          <cell r="H8">
            <v>8873.75</v>
          </cell>
          <cell r="I8">
            <v>8587.5</v>
          </cell>
          <cell r="J8">
            <v>8726.5</v>
          </cell>
          <cell r="K8">
            <v>8445</v>
          </cell>
          <cell r="L8">
            <v>8726.5</v>
          </cell>
          <cell r="M8">
            <v>6299.2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36"/>
  <sheetViews>
    <sheetView tabSelected="1" workbookViewId="0">
      <selection activeCell="O30" sqref="O30"/>
    </sheetView>
  </sheetViews>
  <sheetFormatPr defaultColWidth="8.88888888888889" defaultRowHeight="15.6"/>
  <cols>
    <col min="1" max="1" width="14.1111111111111" style="34" customWidth="1"/>
    <col min="2" max="2" width="20.8888888888889" style="34" customWidth="1"/>
    <col min="3" max="14" width="15.1111111111111" style="34" customWidth="1"/>
    <col min="15" max="15" width="20.1111111111111" style="34" customWidth="1"/>
    <col min="16" max="16" width="15.6666666666667" style="34" customWidth="1"/>
    <col min="17" max="17" width="17" style="34" customWidth="1"/>
    <col min="18" max="66" width="15.6666666666667" style="34" customWidth="1"/>
    <col min="67" max="67" width="15.6666666666667" style="34" hidden="1" customWidth="1"/>
    <col min="68" max="71" width="14.1111111111111" style="34" hidden="1" customWidth="1"/>
    <col min="72" max="72" width="15.2222222222222" style="34" hidden="1" customWidth="1"/>
    <col min="73" max="80" width="8.88888888888889" style="34" hidden="1" customWidth="1"/>
    <col min="81" max="82" width="15.6666666666667" style="34" hidden="1" customWidth="1"/>
    <col min="83" max="84" width="8.88888888888889" style="34" hidden="1" customWidth="1"/>
    <col min="85" max="16384" width="8.88888888888889" style="34" customWidth="1"/>
  </cols>
  <sheetData>
    <row r="1" s="34" customFormat="1" ht="17.4" customHeight="1" spans="1:81">
      <c r="A1" s="2" t="str">
        <f>'[1]特别隐藏版（勿动、勿看）'!A1</f>
        <v>2026年度WB进度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  <c r="BP1" s="67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7"/>
      <c r="CC1" s="77"/>
    </row>
    <row r="2" s="34" customFormat="1" spans="1:81">
      <c r="A2" s="2" t="str">
        <f>'[1]特别隐藏版（勿动、勿看）'!A2</f>
        <v>项目</v>
      </c>
      <c r="B2" s="2" t="str">
        <f>'[1]特别隐藏版（勿动、勿看）'!B2</f>
        <v>月度</v>
      </c>
      <c r="C2" s="4" t="str">
        <f>'[1]特别隐藏版（勿动、勿看）'!C2</f>
        <v>2月</v>
      </c>
      <c r="D2" s="4" t="str">
        <f>'[1]特别隐藏版（勿动、勿看）'!D2</f>
        <v>3月</v>
      </c>
      <c r="E2" s="4" t="str">
        <f>'[1]特别隐藏版（勿动、勿看）'!E2</f>
        <v>4月</v>
      </c>
      <c r="F2" s="5" t="str">
        <f>'[1]特别隐藏版（勿动、勿看）'!F2</f>
        <v>5月</v>
      </c>
      <c r="G2" s="5" t="str">
        <f>'[1]特别隐藏版（勿动、勿看）'!G2</f>
        <v>6月</v>
      </c>
      <c r="H2" s="5" t="str">
        <f>'[1]特别隐藏版（勿动、勿看）'!H2</f>
        <v>7月</v>
      </c>
      <c r="I2" s="25" t="str">
        <f>'[1]特别隐藏版（勿动、勿看）'!I2</f>
        <v>8月</v>
      </c>
      <c r="J2" s="25" t="str">
        <f>'[1]特别隐藏版（勿动、勿看）'!J2</f>
        <v>9月</v>
      </c>
      <c r="K2" s="25" t="str">
        <f>'[1]特别隐藏版（勿动、勿看）'!K2</f>
        <v>10月</v>
      </c>
      <c r="L2" s="26" t="str">
        <f>'[1]特别隐藏版（勿动、勿看）'!L2</f>
        <v>11月</v>
      </c>
      <c r="M2" s="26" t="str">
        <f>'[1]特别隐藏版（勿动、勿看）'!M2</f>
        <v>12月</v>
      </c>
      <c r="N2" s="26" t="str">
        <f>'[1]特别隐藏版（勿动、勿看）'!N2</f>
        <v>1月</v>
      </c>
      <c r="O2" s="2" t="str">
        <f>'[1]特别隐藏版（勿动、勿看）'!O2</f>
        <v>汇总</v>
      </c>
      <c r="BP2" s="2"/>
      <c r="BQ2" s="4"/>
      <c r="BR2" s="4"/>
      <c r="BS2" s="4"/>
      <c r="BT2" s="5"/>
      <c r="BU2" s="5"/>
      <c r="BV2" s="5"/>
      <c r="BW2" s="25"/>
      <c r="BX2" s="25"/>
      <c r="BY2" s="25"/>
      <c r="BZ2" s="26"/>
      <c r="CA2" s="26"/>
      <c r="CB2" s="26"/>
      <c r="CC2" s="77"/>
    </row>
    <row r="3" s="34" customFormat="1" spans="1:80">
      <c r="A3" s="6"/>
      <c r="B3" s="2" t="str">
        <f>'[1]特别隐藏版（勿动、勿看）'!B3</f>
        <v>季度</v>
      </c>
      <c r="C3" s="4" t="str">
        <f>'[1]特别隐藏版（勿动、勿看）'!C3</f>
        <v>Q1</v>
      </c>
      <c r="D3" s="3"/>
      <c r="E3" s="7"/>
      <c r="F3" s="5" t="str">
        <f>'[1]特别隐藏版（勿动、勿看）'!F3</f>
        <v>Q2</v>
      </c>
      <c r="G3" s="3"/>
      <c r="H3" s="7"/>
      <c r="I3" s="25" t="str">
        <f>'[1]特别隐藏版（勿动、勿看）'!I3</f>
        <v>Q3</v>
      </c>
      <c r="J3" s="3"/>
      <c r="K3" s="7"/>
      <c r="L3" s="26" t="str">
        <f>'[1]特别隐藏版（勿动、勿看）'!L3</f>
        <v>Q4</v>
      </c>
      <c r="M3" s="3"/>
      <c r="N3" s="7"/>
      <c r="O3" s="6"/>
      <c r="BP3" s="68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75"/>
    </row>
    <row r="4" s="34" customFormat="1" spans="1:80">
      <c r="A4" s="6"/>
      <c r="B4" s="2" t="str">
        <f>'[1]特别隐藏版（勿动、勿看）'!B4</f>
        <v>季度财报</v>
      </c>
      <c r="C4" s="8">
        <f>'[1]2026年度男装汇总分析'!C4</f>
        <v>935295.04</v>
      </c>
      <c r="D4" s="3"/>
      <c r="E4" s="7"/>
      <c r="F4" s="61">
        <f>'[1]2026年度男装汇总分析'!F4</f>
        <v>698610.823760655</v>
      </c>
      <c r="G4" s="3"/>
      <c r="H4" s="7"/>
      <c r="I4" s="62">
        <f>'[1]2026年度男装汇总分析'!I4</f>
        <v>0</v>
      </c>
      <c r="J4" s="3"/>
      <c r="K4" s="7"/>
      <c r="L4" s="63">
        <f>'[1]2026年度男装汇总分析'!L4</f>
        <v>0</v>
      </c>
      <c r="M4" s="3"/>
      <c r="N4" s="7"/>
      <c r="O4" s="6"/>
      <c r="BP4" s="69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76"/>
    </row>
    <row r="5" s="59" customFormat="1" spans="1:81">
      <c r="A5" s="9"/>
      <c r="B5" s="10" t="str">
        <f>'[1]特别隐藏版（勿动、勿看）'!B5</f>
        <v>季度财报进度</v>
      </c>
      <c r="C5" s="11">
        <f>'[1]2026年度男装汇总分析'!C5</f>
        <v>0.725215936135818</v>
      </c>
      <c r="D5" s="3"/>
      <c r="E5" s="7"/>
      <c r="F5" s="12">
        <f>'[1]2026年度男装汇总分析'!F5</f>
        <v>0.420051351495379</v>
      </c>
      <c r="G5" s="3"/>
      <c r="H5" s="7"/>
      <c r="I5" s="27">
        <f>'[1]2026年度男装汇总分析'!I5</f>
        <v>0</v>
      </c>
      <c r="J5" s="3"/>
      <c r="K5" s="7"/>
      <c r="L5" s="28">
        <f>'[1]2026年度男装汇总分析'!L5</f>
        <v>0</v>
      </c>
      <c r="M5" s="3"/>
      <c r="N5" s="7"/>
      <c r="O5" s="9"/>
      <c r="P5" s="64"/>
      <c r="Q5" s="64"/>
      <c r="BP5" s="68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7"/>
    </row>
    <row r="6" s="34" customFormat="1" ht="31.2" customHeight="1" spans="1:80">
      <c r="A6" s="35" t="str">
        <f>'[1]特别隐藏版（勿动、勿看）'!A6</f>
        <v>目标完成情况</v>
      </c>
      <c r="B6" s="13" t="str">
        <f>'[1]特别隐藏版（勿动、勿看）'!B6</f>
        <v>月度目标
利润（人民币）</v>
      </c>
      <c r="C6" s="14">
        <f>'[1]2026年度男装汇总分析'!C6</f>
        <v>335792.794830819</v>
      </c>
      <c r="D6" s="14">
        <f>'[1]2026年度男装汇总分析'!D6</f>
        <v>495821.970600399</v>
      </c>
      <c r="E6" s="14">
        <f>'[1]2026年度男装汇总分析'!E6</f>
        <v>546265.878674808</v>
      </c>
      <c r="F6" s="14">
        <f>'[1]2026年度男装汇总分析'!F6</f>
        <v>614961.359102038</v>
      </c>
      <c r="G6" s="14">
        <f>'[1]2026年度男装汇总分析'!G6</f>
        <v>531399.518028897</v>
      </c>
      <c r="H6" s="14">
        <f>'[1]2026年度男装汇总分析'!H6</f>
        <v>549112.835296526</v>
      </c>
      <c r="I6" s="14">
        <f>'[1]2026年度男装汇总分析'!I6</f>
        <v>691873.249103936</v>
      </c>
      <c r="J6" s="14">
        <f>'[1]2026年度男装汇总分析'!J6</f>
        <v>669554.757197358</v>
      </c>
      <c r="K6" s="14">
        <f>'[1]2026年度男装汇总分析'!K6</f>
        <v>667313.309995024</v>
      </c>
      <c r="L6" s="14">
        <f>'[1]2026年度男装汇总分析'!L6</f>
        <v>619182.362865127</v>
      </c>
      <c r="M6" s="14">
        <f>'[1]2026年度男装汇总分析'!M6</f>
        <v>639821.774960632</v>
      </c>
      <c r="N6" s="14">
        <f>'[1]2026年度男装汇总分析'!N6</f>
        <v>358899.96389988</v>
      </c>
      <c r="O6" s="29">
        <f>SUM(C6:N6)</f>
        <v>6719999.77455544</v>
      </c>
      <c r="P6" s="65"/>
      <c r="Q6" s="65"/>
      <c r="BP6" s="68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</row>
    <row r="7" s="34" customFormat="1" spans="1:80">
      <c r="A7" s="6"/>
      <c r="B7" s="15" t="str">
        <f>'[1]特别隐藏版（勿动、勿看）'!B7</f>
        <v>实际利润（人民币）</v>
      </c>
      <c r="C7" s="16">
        <v>327365.83</v>
      </c>
      <c r="D7" s="16">
        <v>456333.74</v>
      </c>
      <c r="E7" s="16">
        <v>125279.63</v>
      </c>
      <c r="F7" s="16">
        <v>254528.81</v>
      </c>
      <c r="G7" s="16">
        <v>259564.05</v>
      </c>
      <c r="H7" s="16">
        <v>135256.18</v>
      </c>
      <c r="I7" s="16"/>
      <c r="J7" s="16"/>
      <c r="K7" s="16"/>
      <c r="L7" s="16"/>
      <c r="M7" s="16"/>
      <c r="N7" s="16"/>
      <c r="O7" s="16"/>
      <c r="P7" s="64"/>
      <c r="Q7" s="66"/>
      <c r="BP7" s="68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</row>
    <row r="8" s="34" customFormat="1" spans="1:80">
      <c r="A8" s="6"/>
      <c r="B8" s="2" t="str">
        <f>'[1]特别隐藏版（勿动、勿看）'!B8</f>
        <v>目标完成进度</v>
      </c>
      <c r="C8" s="17">
        <f t="shared" ref="C8:N8" si="0">IFERROR(C7/C6,0)</f>
        <v>0.974904271441963</v>
      </c>
      <c r="D8" s="17">
        <f t="shared" si="0"/>
        <v>0.920358045948262</v>
      </c>
      <c r="E8" s="17">
        <f t="shared" si="0"/>
        <v>0.229338193891804</v>
      </c>
      <c r="F8" s="17">
        <f t="shared" si="0"/>
        <v>0.413893989000644</v>
      </c>
      <c r="G8" s="17">
        <f t="shared" si="0"/>
        <v>0.488453679752651</v>
      </c>
      <c r="H8" s="17">
        <f t="shared" si="0"/>
        <v>0.246317644217805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/>
      <c r="P8" s="64"/>
      <c r="Q8" s="64"/>
      <c r="BP8" s="68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</row>
    <row r="9" s="34" customFormat="1" spans="1:80">
      <c r="A9" s="6"/>
      <c r="B9" s="18">
        <f>'[1]特别隐藏版（勿动、勿看）'!B9</f>
        <v>0</v>
      </c>
      <c r="C9" s="19">
        <f>'[1]特别隐藏版（勿动、勿看）'!C9</f>
        <v>0</v>
      </c>
      <c r="D9" s="19">
        <f>'[1]特别隐藏版（勿动、勿看）'!D9</f>
        <v>0</v>
      </c>
      <c r="E9" s="19">
        <f>'[1]特别隐藏版（勿动、勿看）'!E9</f>
        <v>0</v>
      </c>
      <c r="F9" s="19">
        <f>'[1]特别隐藏版（勿动、勿看）'!F9</f>
        <v>0</v>
      </c>
      <c r="G9" s="19">
        <f>'[1]特别隐藏版（勿动、勿看）'!G9</f>
        <v>0</v>
      </c>
      <c r="H9" s="19">
        <f>'[1]特别隐藏版（勿动、勿看）'!H9</f>
        <v>0</v>
      </c>
      <c r="I9" s="19">
        <f>'[1]特别隐藏版（勿动、勿看）'!I9</f>
        <v>0</v>
      </c>
      <c r="J9" s="19">
        <f>'[1]特别隐藏版（勿动、勿看）'!J9</f>
        <v>0</v>
      </c>
      <c r="K9" s="19">
        <f>'[1]特别隐藏版（勿动、勿看）'!K9</f>
        <v>0</v>
      </c>
      <c r="L9" s="19">
        <f>'[1]特别隐藏版（勿动、勿看）'!L9</f>
        <v>0</v>
      </c>
      <c r="M9" s="19">
        <f>'[1]特别隐藏版（勿动、勿看）'!M9</f>
        <v>0</v>
      </c>
      <c r="N9" s="19">
        <f>'[1]特别隐藏版（勿动、勿看）'!N9</f>
        <v>0</v>
      </c>
      <c r="O9" s="30">
        <f>'[1]特别隐藏版（勿动、勿看）'!O9</f>
        <v>0</v>
      </c>
      <c r="P9" s="64"/>
      <c r="Q9" s="64"/>
      <c r="BP9" s="68"/>
      <c r="BQ9" s="71"/>
      <c r="BR9" s="3"/>
      <c r="BS9" s="7"/>
      <c r="BT9" s="71"/>
      <c r="BU9" s="3"/>
      <c r="BV9" s="7"/>
      <c r="BW9" s="71"/>
      <c r="BX9" s="3"/>
      <c r="BY9" s="7"/>
      <c r="BZ9" s="71"/>
      <c r="CA9" s="3"/>
      <c r="CB9" s="7"/>
    </row>
    <row r="10" s="34" customFormat="1" spans="1:83">
      <c r="A10" s="6"/>
      <c r="B10" s="2" t="str">
        <f>'[1]特别隐藏版（勿动、勿看）'!B10</f>
        <v>销量目标</v>
      </c>
      <c r="C10" s="20">
        <f>'[1]2026年度男装汇总分析'!C10</f>
        <v>20440</v>
      </c>
      <c r="D10" s="20">
        <f>'[1]2026年度男装汇总分析'!D10</f>
        <v>30070</v>
      </c>
      <c r="E10" s="20">
        <f>'[1]2026年度男装汇总分析'!E10</f>
        <v>33000</v>
      </c>
      <c r="F10" s="20">
        <f>'[1]2026年度男装汇总分析'!F10</f>
        <v>37200</v>
      </c>
      <c r="G10" s="20">
        <f>'[1]2026年度男装汇总分析'!G10</f>
        <v>32100</v>
      </c>
      <c r="H10" s="20">
        <f>'[1]2026年度男装汇总分析'!H10</f>
        <v>33170</v>
      </c>
      <c r="I10" s="20">
        <f>'[1]2026年度男装汇总分析'!I10</f>
        <v>41850</v>
      </c>
      <c r="J10" s="20">
        <f>'[1]2026年度男装汇总分析'!J10</f>
        <v>40500</v>
      </c>
      <c r="K10" s="20">
        <f>'[1]2026年度男装汇总分析'!K10</f>
        <v>40300</v>
      </c>
      <c r="L10" s="20">
        <f>'[1]2026年度男装汇总分析'!L10</f>
        <v>37500</v>
      </c>
      <c r="M10" s="20">
        <f>'[1]2026年度男装汇总分析'!M10</f>
        <v>38750</v>
      </c>
      <c r="N10" s="20">
        <f>'[1]2026年度男装汇总分析'!N10</f>
        <v>21700</v>
      </c>
      <c r="O10" s="31">
        <f>SUM(C10:N10)</f>
        <v>406580</v>
      </c>
      <c r="P10" s="64"/>
      <c r="Q10" s="64"/>
      <c r="BP10" s="68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75"/>
      <c r="CC10"/>
      <c r="CD10"/>
      <c r="CE10"/>
    </row>
    <row r="11" s="34" customFormat="1" spans="1:83">
      <c r="A11" s="6"/>
      <c r="B11" s="15" t="str">
        <f>'[1]特别隐藏版（勿动、勿看）'!B11</f>
        <v>销量完成</v>
      </c>
      <c r="C11" s="15">
        <v>32208</v>
      </c>
      <c r="D11" s="15">
        <v>44003</v>
      </c>
      <c r="E11" s="15">
        <v>26815</v>
      </c>
      <c r="F11" s="15">
        <v>38565</v>
      </c>
      <c r="G11" s="15">
        <v>24320</v>
      </c>
      <c r="H11" s="15">
        <v>14546</v>
      </c>
      <c r="I11" s="15"/>
      <c r="J11" s="15"/>
      <c r="K11" s="15"/>
      <c r="L11" s="15"/>
      <c r="M11" s="15"/>
      <c r="N11" s="15"/>
      <c r="O11" s="15"/>
      <c r="P11" s="59"/>
      <c r="BP11" s="69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76"/>
      <c r="CC11"/>
      <c r="CD11"/>
      <c r="CE11"/>
    </row>
    <row r="12" s="34" customFormat="1" spans="1:83">
      <c r="A12" s="6"/>
      <c r="B12" s="2" t="str">
        <f>'[1]特别隐藏版（勿动、勿看）'!B12</f>
        <v>销量完成进度</v>
      </c>
      <c r="C12" s="17">
        <f t="shared" ref="C12:N12" si="1">IFERROR(C11/C10,0)</f>
        <v>1.57573385518591</v>
      </c>
      <c r="D12" s="17">
        <f t="shared" si="1"/>
        <v>1.46335217825075</v>
      </c>
      <c r="E12" s="17">
        <f t="shared" si="1"/>
        <v>0.812575757575758</v>
      </c>
      <c r="F12" s="17">
        <f t="shared" si="1"/>
        <v>1.0366935483871</v>
      </c>
      <c r="G12" s="17">
        <f t="shared" si="1"/>
        <v>0.757632398753894</v>
      </c>
      <c r="H12" s="17">
        <f t="shared" si="1"/>
        <v>0.438528791076274</v>
      </c>
      <c r="I12" s="17">
        <f t="shared" si="1"/>
        <v>0</v>
      </c>
      <c r="J12" s="17">
        <f t="shared" si="1"/>
        <v>0</v>
      </c>
      <c r="K12" s="17">
        <f t="shared" si="1"/>
        <v>0</v>
      </c>
      <c r="L12" s="17">
        <f t="shared" si="1"/>
        <v>0</v>
      </c>
      <c r="M12" s="17">
        <f t="shared" si="1"/>
        <v>0</v>
      </c>
      <c r="N12" s="17">
        <f t="shared" si="1"/>
        <v>0</v>
      </c>
      <c r="O12" s="17"/>
      <c r="BP12" s="68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/>
      <c r="CD12"/>
      <c r="CE12"/>
    </row>
    <row r="13" s="34" customFormat="1" spans="1:83">
      <c r="A13" s="6"/>
      <c r="B13" s="18">
        <f>'[1]特别隐藏版（勿动、勿看）'!B13</f>
        <v>0</v>
      </c>
      <c r="C13" s="19">
        <f>'[1]特别隐藏版（勿动、勿看）'!C13</f>
        <v>0</v>
      </c>
      <c r="D13" s="19">
        <f>'[1]特别隐藏版（勿动、勿看）'!D13</f>
        <v>0</v>
      </c>
      <c r="E13" s="19">
        <f>'[1]特别隐藏版（勿动、勿看）'!E13</f>
        <v>0</v>
      </c>
      <c r="F13" s="19">
        <f>'[1]特别隐藏版（勿动、勿看）'!F13</f>
        <v>0</v>
      </c>
      <c r="G13" s="19">
        <f>'[1]特别隐藏版（勿动、勿看）'!G13</f>
        <v>0</v>
      </c>
      <c r="H13" s="19">
        <f>'[1]特别隐藏版（勿动、勿看）'!H13</f>
        <v>0</v>
      </c>
      <c r="I13" s="19">
        <f>'[1]特别隐藏版（勿动、勿看）'!I13</f>
        <v>0</v>
      </c>
      <c r="J13" s="19">
        <f>'[1]特别隐藏版（勿动、勿看）'!J13</f>
        <v>0</v>
      </c>
      <c r="K13" s="19">
        <f>'[1]特别隐藏版（勿动、勿看）'!K13</f>
        <v>0</v>
      </c>
      <c r="L13" s="19">
        <f>'[1]特别隐藏版（勿动、勿看）'!L13</f>
        <v>0</v>
      </c>
      <c r="M13" s="19">
        <f>'[1]特别隐藏版（勿动、勿看）'!M13</f>
        <v>0</v>
      </c>
      <c r="N13" s="19">
        <f>'[1]特别隐藏版（勿动、勿看）'!N13</f>
        <v>0</v>
      </c>
      <c r="O13" s="30">
        <f>'[1]特别隐藏版（勿动、勿看）'!O13</f>
        <v>0</v>
      </c>
      <c r="BP13" s="68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/>
      <c r="CD13"/>
      <c r="CE13"/>
    </row>
    <row r="14" s="34" customFormat="1" spans="1:83">
      <c r="A14" s="6"/>
      <c r="B14" s="2" t="str">
        <f>'[1]特别隐藏版（勿动、勿看）'!B14</f>
        <v>实销目标</v>
      </c>
      <c r="C14" s="20">
        <f>'[1]2026年度男装汇总分析'!C14</f>
        <v>6897.35764350642</v>
      </c>
      <c r="D14" s="20">
        <f>'[1]2026年度男装汇总分析'!D14</f>
        <v>10111.6874213955</v>
      </c>
      <c r="E14" s="20">
        <f>'[1]2026年度男装汇总分析'!E14</f>
        <v>11086.2267444023</v>
      </c>
      <c r="F14" s="20">
        <f>'[1]2026年度男装汇总分析'!F14</f>
        <v>12472.0552607735</v>
      </c>
      <c r="G14" s="20">
        <f>'[1]2026年度男装汇总分析'!G14</f>
        <v>10728.7647155245</v>
      </c>
      <c r="H14" s="20">
        <f>'[1]2026年度男装汇总分析'!H14</f>
        <v>11086.390206042</v>
      </c>
      <c r="I14" s="20">
        <f>'[1]2026年度男装汇总分析'!I14</f>
        <v>13984.8055722318</v>
      </c>
      <c r="J14" s="20">
        <f>'[1]2026年度男装汇总分析'!J14</f>
        <v>13533.6828118373</v>
      </c>
      <c r="K14" s="20">
        <f>'[1]2026年度男装汇总分析'!K14</f>
        <v>13410.0089029832</v>
      </c>
      <c r="L14" s="20">
        <f>'[1]2026年度男装汇总分析'!L14</f>
        <v>12490.9058483349</v>
      </c>
      <c r="M14" s="20">
        <f>'[1]2026年度男装汇总分析'!M14</f>
        <v>12907.2693766127</v>
      </c>
      <c r="N14" s="20">
        <f>'[1]2026年度男装汇总分析'!N14</f>
        <v>7213.14826393716</v>
      </c>
      <c r="O14" s="32">
        <f>'[1]特别隐藏版（勿动、勿看）'!O14</f>
        <v>134432.16899354</v>
      </c>
      <c r="BP14" s="68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/>
      <c r="CD14"/>
      <c r="CE14"/>
    </row>
    <row r="15" s="34" customFormat="1" spans="1:83">
      <c r="A15" s="6"/>
      <c r="B15" s="15" t="str">
        <f>'[1]特别隐藏版（勿动、勿看）'!B15</f>
        <v>实销完成</v>
      </c>
      <c r="C15" s="15">
        <v>8307</v>
      </c>
      <c r="D15" s="15">
        <v>9824</v>
      </c>
      <c r="E15" s="15">
        <v>5779</v>
      </c>
      <c r="F15" s="15">
        <v>7790</v>
      </c>
      <c r="G15" s="15">
        <v>5201</v>
      </c>
      <c r="H15" s="15">
        <v>2905</v>
      </c>
      <c r="I15" s="15"/>
      <c r="J15" s="15"/>
      <c r="K15" s="15"/>
      <c r="L15" s="15"/>
      <c r="M15" s="15"/>
      <c r="N15" s="15"/>
      <c r="O15" s="15"/>
      <c r="P15" s="59"/>
      <c r="BP15" s="68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/>
      <c r="CD15"/>
      <c r="CE15"/>
    </row>
    <row r="16" s="34" customFormat="1" spans="1:83">
      <c r="A16" s="6"/>
      <c r="B16" s="2" t="str">
        <f>'[1]特别隐藏版（勿动、勿看）'!B16</f>
        <v>实销完成进度</v>
      </c>
      <c r="C16" s="17">
        <f t="shared" ref="C16:N16" si="2">IFERROR(C15/C14,0)</f>
        <v>1.20437425886139</v>
      </c>
      <c r="D16" s="17">
        <f t="shared" si="2"/>
        <v>0.971549019524993</v>
      </c>
      <c r="E16" s="17">
        <f t="shared" si="2"/>
        <v>0.521277449328551</v>
      </c>
      <c r="F16" s="17">
        <f t="shared" si="2"/>
        <v>0.624596334535233</v>
      </c>
      <c r="G16" s="17">
        <f t="shared" si="2"/>
        <v>0.484771559252685</v>
      </c>
      <c r="H16" s="17">
        <f t="shared" si="2"/>
        <v>0.262032992345588</v>
      </c>
      <c r="I16" s="17">
        <f t="shared" si="2"/>
        <v>0</v>
      </c>
      <c r="J16" s="17">
        <f t="shared" si="2"/>
        <v>0</v>
      </c>
      <c r="K16" s="17">
        <f t="shared" si="2"/>
        <v>0</v>
      </c>
      <c r="L16" s="17">
        <f t="shared" si="2"/>
        <v>0</v>
      </c>
      <c r="M16" s="17">
        <f t="shared" si="2"/>
        <v>0</v>
      </c>
      <c r="N16" s="17">
        <f t="shared" si="2"/>
        <v>0</v>
      </c>
      <c r="O16" s="17"/>
      <c r="BP16" s="68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/>
      <c r="CD16"/>
      <c r="CE16"/>
    </row>
    <row r="17" s="34" customFormat="1" spans="1:83">
      <c r="A17" s="6"/>
      <c r="B17" s="18">
        <f>'[1]特别隐藏版（勿动、勿看）'!B17</f>
        <v>0</v>
      </c>
      <c r="C17" s="19">
        <f>'[1]特别隐藏版（勿动、勿看）'!C17</f>
        <v>0</v>
      </c>
      <c r="D17" s="19">
        <f>'[1]特别隐藏版（勿动、勿看）'!D17</f>
        <v>0</v>
      </c>
      <c r="E17" s="19">
        <f>'[1]特别隐藏版（勿动、勿看）'!E17</f>
        <v>0</v>
      </c>
      <c r="F17" s="19">
        <f>'[1]特别隐藏版（勿动、勿看）'!F17</f>
        <v>0</v>
      </c>
      <c r="G17" s="19">
        <f>'[1]特别隐藏版（勿动、勿看）'!G17</f>
        <v>0</v>
      </c>
      <c r="H17" s="19">
        <f>'[1]特别隐藏版（勿动、勿看）'!H17</f>
        <v>0</v>
      </c>
      <c r="I17" s="19">
        <f>'[1]特别隐藏版（勿动、勿看）'!I17</f>
        <v>0</v>
      </c>
      <c r="J17" s="19">
        <f>'[1]特别隐藏版（勿动、勿看）'!J17</f>
        <v>0</v>
      </c>
      <c r="K17" s="19">
        <f>'[1]特别隐藏版（勿动、勿看）'!K17</f>
        <v>0</v>
      </c>
      <c r="L17" s="19">
        <f>'[1]特别隐藏版（勿动、勿看）'!L17</f>
        <v>0</v>
      </c>
      <c r="M17" s="19">
        <f>'[1]特别隐藏版（勿动、勿看）'!M17</f>
        <v>0</v>
      </c>
      <c r="N17" s="19">
        <f>'[1]特别隐藏版（勿动、勿看）'!N17</f>
        <v>0</v>
      </c>
      <c r="O17" s="30">
        <f>'[1]特别隐藏版（勿动、勿看）'!O17</f>
        <v>0</v>
      </c>
      <c r="BP17" s="72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/>
      <c r="CD17"/>
      <c r="CE17"/>
    </row>
    <row r="18" s="60" customFormat="1" spans="1:83">
      <c r="A18" s="6"/>
      <c r="B18" s="21" t="str">
        <f>'[1]特别隐藏版（勿动、勿看）'!B18</f>
        <v>GMV目标</v>
      </c>
      <c r="C18" s="21">
        <f>'[1]2026年度男装汇总分析'!C18</f>
        <v>80493092.3882099</v>
      </c>
      <c r="D18" s="21">
        <f>'[1]2026年度男装汇总分析'!D18</f>
        <v>119089072.754788</v>
      </c>
      <c r="E18" s="21">
        <f>'[1]2026年度男装汇总分析'!E18</f>
        <v>131407647.769309</v>
      </c>
      <c r="F18" s="21">
        <f>'[1]2026年度男装汇总分析'!F18</f>
        <v>147885532.814373</v>
      </c>
      <c r="G18" s="21">
        <f>'[1]2026年度男装汇总分析'!G18</f>
        <v>127926788.132262</v>
      </c>
      <c r="H18" s="21">
        <f>'[1]2026年度男装汇总分析'!H18</f>
        <v>132191014.403337</v>
      </c>
      <c r="I18" s="21">
        <f>'[1]2026年度男装汇总分析'!I18</f>
        <v>166757115.903943</v>
      </c>
      <c r="J18" s="21">
        <f>'[1]2026年度男装汇总分析'!J18</f>
        <v>161377854.10059</v>
      </c>
      <c r="K18" s="21">
        <f>'[1]2026年度男装汇总分析'!K18</f>
        <v>160880813.862657</v>
      </c>
      <c r="L18" s="21">
        <f>'[1]2026年度男装汇总分析'!L18</f>
        <v>149498436.887819</v>
      </c>
      <c r="M18" s="21">
        <f>'[1]2026年度男装汇总分析'!M18</f>
        <v>154481718.117413</v>
      </c>
      <c r="N18" s="21">
        <f>'[1]2026年度男装汇总分析'!N18</f>
        <v>86489221.9910386</v>
      </c>
      <c r="O18" s="33">
        <f>'[1]特别隐藏版（勿动、勿看）'!O18</f>
        <v>1702896506.80041</v>
      </c>
      <c r="P18" s="34"/>
      <c r="BP18" s="72"/>
      <c r="BQ18" s="71"/>
      <c r="BR18" s="3"/>
      <c r="BS18" s="7"/>
      <c r="BT18" s="71"/>
      <c r="BU18" s="3"/>
      <c r="BV18" s="7"/>
      <c r="BW18" s="71"/>
      <c r="BX18" s="3"/>
      <c r="BY18" s="7"/>
      <c r="BZ18" s="71"/>
      <c r="CA18" s="3"/>
      <c r="CB18" s="7"/>
      <c r="CC18"/>
      <c r="CD18"/>
      <c r="CE18"/>
    </row>
    <row r="19" s="60" customFormat="1" spans="1:83">
      <c r="A19" s="6"/>
      <c r="B19" s="22" t="str">
        <f>'[1]特别隐藏版（勿动、勿看）'!B19</f>
        <v>GMV完成</v>
      </c>
      <c r="C19" s="22">
        <v>132982222</v>
      </c>
      <c r="D19" s="22">
        <v>198981220</v>
      </c>
      <c r="E19" s="22">
        <v>126832523</v>
      </c>
      <c r="F19" s="22">
        <v>172035142</v>
      </c>
      <c r="G19" s="22">
        <v>108381782</v>
      </c>
      <c r="H19" s="22">
        <v>68236801</v>
      </c>
      <c r="I19" s="22"/>
      <c r="J19" s="22"/>
      <c r="K19" s="22"/>
      <c r="L19" s="22"/>
      <c r="M19" s="22"/>
      <c r="N19" s="22"/>
      <c r="O19" s="22"/>
      <c r="P19" s="59"/>
      <c r="BP19" s="72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75"/>
      <c r="CC19"/>
      <c r="CD19"/>
      <c r="CE19"/>
    </row>
    <row r="20" s="34" customFormat="1" spans="1:83">
      <c r="A20" s="6"/>
      <c r="B20" s="2" t="str">
        <f>'[1]特别隐藏版（勿动、勿看）'!B20</f>
        <v>GMV完成进度</v>
      </c>
      <c r="C20" s="17">
        <f t="shared" ref="C20:N20" si="3">IFERROR(C19/C18,0)</f>
        <v>1.65209483266763</v>
      </c>
      <c r="D20" s="17">
        <f t="shared" si="3"/>
        <v>1.67086043578251</v>
      </c>
      <c r="E20" s="17">
        <f t="shared" si="3"/>
        <v>0.965183725247553</v>
      </c>
      <c r="F20" s="17">
        <f t="shared" si="3"/>
        <v>1.16329933514146</v>
      </c>
      <c r="G20" s="17">
        <f t="shared" si="3"/>
        <v>0.847217252792631</v>
      </c>
      <c r="H20" s="17">
        <f t="shared" si="3"/>
        <v>0.516198482234186</v>
      </c>
      <c r="I20" s="17">
        <f t="shared" si="3"/>
        <v>0</v>
      </c>
      <c r="J20" s="17">
        <f t="shared" si="3"/>
        <v>0</v>
      </c>
      <c r="K20" s="17">
        <f t="shared" si="3"/>
        <v>0</v>
      </c>
      <c r="L20" s="17">
        <f t="shared" si="3"/>
        <v>0</v>
      </c>
      <c r="M20" s="17">
        <f t="shared" si="3"/>
        <v>0</v>
      </c>
      <c r="N20" s="17">
        <f t="shared" si="3"/>
        <v>0</v>
      </c>
      <c r="O20" s="17"/>
      <c r="BP20" s="69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76"/>
      <c r="CC20"/>
      <c r="CD20"/>
      <c r="CE20"/>
    </row>
    <row r="21" s="34" customFormat="1" spans="1:83">
      <c r="A21" s="6"/>
      <c r="B21" s="18">
        <f>'[1]特别隐藏版（勿动、勿看）'!B21</f>
        <v>0</v>
      </c>
      <c r="C21" s="19">
        <f>'[1]特别隐藏版（勿动、勿看）'!C21</f>
        <v>0</v>
      </c>
      <c r="D21" s="19">
        <f>'[1]特别隐藏版（勿动、勿看）'!D21</f>
        <v>0</v>
      </c>
      <c r="E21" s="19">
        <f>'[1]特别隐藏版（勿动、勿看）'!E21</f>
        <v>0</v>
      </c>
      <c r="F21" s="19">
        <f>'[1]特别隐藏版（勿动、勿看）'!F21</f>
        <v>0</v>
      </c>
      <c r="G21" s="19">
        <f>'[1]特别隐藏版（勿动、勿看）'!G21</f>
        <v>0</v>
      </c>
      <c r="H21" s="19">
        <f>'[1]特别隐藏版（勿动、勿看）'!H21</f>
        <v>0</v>
      </c>
      <c r="I21" s="19">
        <f>'[1]特别隐藏版（勿动、勿看）'!I21</f>
        <v>0</v>
      </c>
      <c r="J21" s="19">
        <f>'[1]特别隐藏版（勿动、勿看）'!J21</f>
        <v>0</v>
      </c>
      <c r="K21" s="19">
        <f>'[1]特别隐藏版（勿动、勿看）'!K21</f>
        <v>0</v>
      </c>
      <c r="L21" s="19">
        <f>'[1]特别隐藏版（勿动、勿看）'!L21</f>
        <v>0</v>
      </c>
      <c r="M21" s="19">
        <f>'[1]特别隐藏版（勿动、勿看）'!M21</f>
        <v>0</v>
      </c>
      <c r="N21" s="19">
        <f>'[1]特别隐藏版（勿动、勿看）'!N21</f>
        <v>0</v>
      </c>
      <c r="O21" s="30">
        <f>'[1]特别隐藏版（勿动、勿看）'!O21</f>
        <v>0</v>
      </c>
      <c r="BP21" s="72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/>
      <c r="CD21"/>
      <c r="CE21"/>
    </row>
    <row r="22" s="34" customFormat="1" spans="1:83">
      <c r="A22" s="6"/>
      <c r="B22" s="2" t="str">
        <f>'[1]特别隐藏版（勿动、勿看）'!B22</f>
        <v>GSV目标</v>
      </c>
      <c r="C22" s="23">
        <f>'[1]2026年度男装汇总分析'!C22</f>
        <v>2071988.2707281</v>
      </c>
      <c r="D22" s="23">
        <f>'[1]2026年度男装汇总分析'!D22</f>
        <v>3065494.8716562</v>
      </c>
      <c r="E22" s="23">
        <f>'[1]2026年度男装汇总分析'!E22</f>
        <v>3382589.69538433</v>
      </c>
      <c r="F22" s="23">
        <f>'[1]2026年度男装汇总分析'!F22</f>
        <v>3806750.1236496</v>
      </c>
      <c r="G22" s="23">
        <f>'[1]2026年度男装汇总分析'!G22</f>
        <v>3292988.21374131</v>
      </c>
      <c r="H22" s="23">
        <f>'[1]2026年度男装汇总分析'!H22</f>
        <v>3402754.48753268</v>
      </c>
      <c r="I22" s="23">
        <f>'[1]2026年度男装汇总分析'!I22</f>
        <v>4292527.19658247</v>
      </c>
      <c r="J22" s="23">
        <f>'[1]2026年度男装汇总分析'!J22</f>
        <v>4154058.57733787</v>
      </c>
      <c r="K22" s="23">
        <f>'[1]2026年度男装汇总分析'!K22</f>
        <v>4141264.16837033</v>
      </c>
      <c r="L22" s="23">
        <f>'[1]2026年度男装汇总分析'!L22</f>
        <v>3848268.19958426</v>
      </c>
      <c r="M22" s="23">
        <f>'[1]2026年度男装汇总分析'!M22</f>
        <v>3976543.80623707</v>
      </c>
      <c r="N22" s="23">
        <f>'[1]2026年度男装汇总分析'!N22</f>
        <v>2226335.80339472</v>
      </c>
      <c r="O22" s="29">
        <f>'[1]特别隐藏版（勿动、勿看）'!O22</f>
        <v>43834588.5798161</v>
      </c>
      <c r="BP22" s="72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/>
      <c r="CD22"/>
      <c r="CE22"/>
    </row>
    <row r="23" s="34" customFormat="1" spans="1:83">
      <c r="A23" s="6"/>
      <c r="B23" s="15" t="str">
        <f>'[1]特别隐藏版（勿动、勿看）'!B23</f>
        <v>GSV完成</v>
      </c>
      <c r="C23" s="24">
        <v>2931788.92</v>
      </c>
      <c r="D23" s="24">
        <v>3779574.75</v>
      </c>
      <c r="E23" s="24">
        <v>2243082.77</v>
      </c>
      <c r="F23" s="24">
        <v>2997722.17</v>
      </c>
      <c r="G23" s="24">
        <v>2098469.22</v>
      </c>
      <c r="H23" s="24">
        <v>1098691.84</v>
      </c>
      <c r="I23" s="24"/>
      <c r="J23" s="24"/>
      <c r="K23" s="24"/>
      <c r="L23" s="24"/>
      <c r="M23" s="24"/>
      <c r="N23" s="24"/>
      <c r="O23" s="16"/>
      <c r="P23" s="59"/>
      <c r="BP23" s="73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/>
      <c r="CD23"/>
      <c r="CE23"/>
    </row>
    <row r="24" s="34" customFormat="1" spans="1:83">
      <c r="A24" s="6"/>
      <c r="B24" s="2" t="str">
        <f>'[1]特别隐藏版（勿动、勿看）'!B24</f>
        <v>GSV完成进度</v>
      </c>
      <c r="C24" s="17">
        <f t="shared" ref="C24:N24" si="4">IFERROR(C23/C22,0)</f>
        <v>1.41496405236395</v>
      </c>
      <c r="D24" s="17">
        <f t="shared" si="4"/>
        <v>1.23294114269974</v>
      </c>
      <c r="E24" s="17">
        <f t="shared" si="4"/>
        <v>0.663125880463945</v>
      </c>
      <c r="F24" s="17">
        <f t="shared" si="4"/>
        <v>0.78747542460865</v>
      </c>
      <c r="G24" s="17">
        <f t="shared" si="4"/>
        <v>0.637253790111759</v>
      </c>
      <c r="H24" s="17">
        <f t="shared" si="4"/>
        <v>0.322883077232133</v>
      </c>
      <c r="I24" s="17">
        <f t="shared" si="4"/>
        <v>0</v>
      </c>
      <c r="J24" s="17">
        <f t="shared" si="4"/>
        <v>0</v>
      </c>
      <c r="K24" s="17">
        <f t="shared" si="4"/>
        <v>0</v>
      </c>
      <c r="L24" s="17">
        <f t="shared" si="4"/>
        <v>0</v>
      </c>
      <c r="M24" s="17">
        <f t="shared" si="4"/>
        <v>0</v>
      </c>
      <c r="N24" s="17">
        <f t="shared" si="4"/>
        <v>0</v>
      </c>
      <c r="O24" s="17"/>
      <c r="BP24" s="72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7"/>
      <c r="CC24"/>
      <c r="CD24"/>
      <c r="CE24"/>
    </row>
    <row r="25" spans="2:14">
      <c r="B25" t="s">
        <v>0</v>
      </c>
      <c r="C25">
        <f t="shared" ref="C25:N25" si="5">IFERROR(C7/C23,0)</f>
        <v>0.111660777406854</v>
      </c>
      <c r="D25">
        <f t="shared" si="5"/>
        <v>0.120736794529596</v>
      </c>
      <c r="E25">
        <f t="shared" si="5"/>
        <v>0.0558515413142779</v>
      </c>
      <c r="F25">
        <f t="shared" si="5"/>
        <v>0.0849074048780178</v>
      </c>
      <c r="G25">
        <f t="shared" si="5"/>
        <v>0.123692093039134</v>
      </c>
      <c r="H25">
        <f t="shared" si="5"/>
        <v>0.123106566441779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</row>
    <row r="26" spans="2:3">
      <c r="B26" t="s">
        <v>1</v>
      </c>
      <c r="C26">
        <f>SUM(C6:N6)</f>
        <v>6719999.77455544</v>
      </c>
    </row>
    <row r="27" spans="2:3">
      <c r="B27" t="s">
        <v>2</v>
      </c>
      <c r="C27">
        <f>SUM(C7:N7)</f>
        <v>1558328.24</v>
      </c>
    </row>
    <row r="28" spans="2:3">
      <c r="B28" t="s">
        <v>3</v>
      </c>
      <c r="C28">
        <f>IFERROR(C27/C26,0)</f>
        <v>0.231894091112985</v>
      </c>
    </row>
    <row r="30" spans="2:3">
      <c r="B30" t="s">
        <v>4</v>
      </c>
      <c r="C30">
        <f>SUM(C22:N22)</f>
        <v>41661563.4141989</v>
      </c>
    </row>
    <row r="31" spans="2:3">
      <c r="B31" t="s">
        <v>5</v>
      </c>
      <c r="C31">
        <f>SUM(C23:N23)</f>
        <v>15149329.67</v>
      </c>
    </row>
    <row r="32" spans="2:3">
      <c r="B32" t="s">
        <v>6</v>
      </c>
      <c r="C32">
        <f>IFERROR(C31/C30,0)</f>
        <v>0.363628448586662</v>
      </c>
    </row>
    <row r="34" spans="2:3">
      <c r="B34" t="s">
        <v>7</v>
      </c>
      <c r="C34" t="s">
        <v>8</v>
      </c>
    </row>
    <row r="36" spans="2:3">
      <c r="B36" t="s">
        <v>9</v>
      </c>
      <c r="C36">
        <f>IFERROR(C27/C31,0)</f>
        <v>0.102864501198752</v>
      </c>
    </row>
  </sheetData>
  <mergeCells count="32">
    <mergeCell ref="A1:O1"/>
    <mergeCell ref="BP1:CB1"/>
    <mergeCell ref="CC1:CE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BQ9:BS9"/>
    <mergeCell ref="BT9:BV9"/>
    <mergeCell ref="BW9:BY9"/>
    <mergeCell ref="BZ9:CB9"/>
    <mergeCell ref="BQ18:BS18"/>
    <mergeCell ref="BT18:BV18"/>
    <mergeCell ref="BW18:BY18"/>
    <mergeCell ref="BZ18:CB18"/>
    <mergeCell ref="BP24:CB24"/>
    <mergeCell ref="A2:A5"/>
    <mergeCell ref="A6:A24"/>
    <mergeCell ref="O2:O5"/>
    <mergeCell ref="BP3:CB4"/>
    <mergeCell ref="CC2:CE4"/>
    <mergeCell ref="BP10:CB11"/>
    <mergeCell ref="BP19:CB20"/>
    <mergeCell ref="CC5:CE9"/>
  </mergeCells>
  <conditionalFormatting sqref="B7:O7">
    <cfRule type="cellIs" dxfId="0" priority="185" operator="greaterThan">
      <formula>0</formula>
    </cfRule>
  </conditionalFormatting>
  <conditionalFormatting sqref="C7:O7">
    <cfRule type="cellIs" dxfId="1" priority="184" operator="greaterThan">
      <formula>0</formula>
    </cfRule>
    <cfRule type="cellIs" dxfId="2" priority="183" operator="lessThan">
      <formula>0</formula>
    </cfRule>
  </conditionalFormatting>
  <conditionalFormatting sqref="C8:O8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{3c4733b5-51f7-435c-8f27-77824d8a16df}</x14:id>
        </ext>
      </extLst>
    </cfRule>
  </conditionalFormatting>
  <conditionalFormatting sqref="C12:O1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{7be8b976-ab18-4a83-8359-c00656a13973}</x14:id>
        </ext>
      </extLst>
    </cfRule>
  </conditionalFormatting>
  <conditionalFormatting sqref="C16:O1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{d5405cb8-9d16-450b-bd76-8db5e8d402d0}</x14:id>
        </ext>
      </extLst>
    </cfRule>
  </conditionalFormatting>
  <conditionalFormatting sqref="C20:O2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{5113f6d0-120e-4069-875f-33fa2e7f7af5}</x14:id>
        </ext>
      </extLst>
    </cfRule>
  </conditionalFormatting>
  <conditionalFormatting sqref="C24:O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{5d2be2e8-9dea-4327-8f97-5583ad793067}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4733b5-51f7-435c-8f27-77824d8a16d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C8:O8</xm:sqref>
        </x14:conditionalFormatting>
        <x14:conditionalFormatting xmlns:xm="http://schemas.microsoft.com/office/excel/2006/main">
          <x14:cfRule type="dataBar" id="{7be8b976-ab18-4a83-8359-c00656a1397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C12:O12</xm:sqref>
        </x14:conditionalFormatting>
        <x14:conditionalFormatting xmlns:xm="http://schemas.microsoft.com/office/excel/2006/main">
          <x14:cfRule type="dataBar" id="{d5405cb8-9d16-450b-bd76-8db5e8d402d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C16:O16</xm:sqref>
        </x14:conditionalFormatting>
        <x14:conditionalFormatting xmlns:xm="http://schemas.microsoft.com/office/excel/2006/main">
          <x14:cfRule type="dataBar" id="{5113f6d0-120e-4069-875f-33fa2e7f7af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C20:O20</xm:sqref>
        </x14:conditionalFormatting>
        <x14:conditionalFormatting xmlns:xm="http://schemas.microsoft.com/office/excel/2006/main">
          <x14:cfRule type="dataBar" id="{5d2be2e8-9dea-4327-8f97-5583ad79306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C24:O24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3"/>
  <sheetViews>
    <sheetView workbookViewId="0">
      <selection activeCell="C14" sqref="C14"/>
    </sheetView>
  </sheetViews>
  <sheetFormatPr defaultColWidth="8.88888888888889" defaultRowHeight="15.6"/>
  <cols>
    <col min="1" max="1" width="14.1111111111111" style="34" customWidth="1"/>
    <col min="2" max="2" width="20.8888888888889" style="34" customWidth="1"/>
    <col min="3" max="14" width="15.1111111111111" style="34" customWidth="1"/>
    <col min="15" max="15" width="17.4444444444444" style="34" customWidth="1"/>
    <col min="16" max="16" width="15.6666666666667" style="34" customWidth="1"/>
    <col min="17" max="16384" width="8.88888888888889" style="34" customWidth="1"/>
  </cols>
  <sheetData>
    <row r="1" s="34" customFormat="1" spans="1:15">
      <c r="A1" s="2" t="str">
        <f>'[2]2026年度男装数据汇总分析--俄罗斯'!A1</f>
        <v>2026年度WB男装进度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</row>
    <row r="2" s="34" customFormat="1" spans="1:15">
      <c r="A2" s="2" t="str">
        <f>'[2]2026年度男装数据汇总分析--俄罗斯'!A2</f>
        <v>项目</v>
      </c>
      <c r="B2" s="2" t="str">
        <f>'[2]2026年度男装数据汇总分析--俄罗斯'!B2</f>
        <v>月度</v>
      </c>
      <c r="C2" s="4" t="str">
        <f>'[2]2026年度男装数据汇总分析--俄罗斯'!C2</f>
        <v>2月</v>
      </c>
      <c r="D2" s="4" t="str">
        <f>'[2]2026年度男装数据汇总分析--俄罗斯'!D2</f>
        <v>3月</v>
      </c>
      <c r="E2" s="4" t="str">
        <f>'[2]2026年度男装数据汇总分析--俄罗斯'!E2</f>
        <v>4月</v>
      </c>
      <c r="F2" s="5" t="str">
        <f>'[2]2026年度男装数据汇总分析--俄罗斯'!F2</f>
        <v>5月</v>
      </c>
      <c r="G2" s="5" t="str">
        <f>'[2]2026年度男装数据汇总分析--俄罗斯'!G2</f>
        <v>6月</v>
      </c>
      <c r="H2" s="5" t="str">
        <f>'[2]2026年度男装数据汇总分析--俄罗斯'!H2</f>
        <v>7月</v>
      </c>
      <c r="I2" s="25" t="str">
        <f>'[2]2026年度男装数据汇总分析--俄罗斯'!I2</f>
        <v>8月</v>
      </c>
      <c r="J2" s="25" t="str">
        <f>'[2]2026年度男装数据汇总分析--俄罗斯'!J2</f>
        <v>9月</v>
      </c>
      <c r="K2" s="25" t="str">
        <f>'[2]2026年度男装数据汇总分析--俄罗斯'!K2</f>
        <v>10月</v>
      </c>
      <c r="L2" s="26" t="str">
        <f>'[2]2026年度男装数据汇总分析--俄罗斯'!L2</f>
        <v>11月</v>
      </c>
      <c r="M2" s="26" t="str">
        <f>'[2]2026年度男装数据汇总分析--俄罗斯'!M2</f>
        <v>12月</v>
      </c>
      <c r="N2" s="26" t="str">
        <f>'[2]2026年度男装数据汇总分析--俄罗斯'!N2</f>
        <v>1月</v>
      </c>
      <c r="O2" s="2" t="str">
        <f>'[2]2026年度男装数据汇总分析--俄罗斯'!O2</f>
        <v>汇总</v>
      </c>
    </row>
    <row r="3" s="34" customFormat="1" spans="1:15">
      <c r="A3" s="6"/>
      <c r="B3" s="2" t="str">
        <f>'[2]2026年度男装数据汇总分析--俄罗斯'!B3</f>
        <v>季度</v>
      </c>
      <c r="C3" s="4" t="str">
        <f>'[2]2026年度男装数据汇总分析--俄罗斯'!C3</f>
        <v>Q1</v>
      </c>
      <c r="D3" s="3"/>
      <c r="E3" s="7"/>
      <c r="F3" s="5" t="str">
        <f>'[2]2026年度男装数据汇总分析--俄罗斯'!F3</f>
        <v>Q2</v>
      </c>
      <c r="G3" s="3"/>
      <c r="H3" s="7"/>
      <c r="I3" s="25" t="str">
        <f>'[2]2026年度男装数据汇总分析--俄罗斯'!I3</f>
        <v>Q3</v>
      </c>
      <c r="J3" s="3"/>
      <c r="K3" s="7"/>
      <c r="L3" s="26" t="str">
        <f>'[2]2026年度男装数据汇总分析--俄罗斯'!L3</f>
        <v>Q4</v>
      </c>
      <c r="M3" s="3"/>
      <c r="N3" s="7"/>
      <c r="O3" s="6"/>
    </row>
    <row r="4" s="34" customFormat="1" spans="1:15">
      <c r="A4" s="6"/>
      <c r="B4" s="2" t="str">
        <f>'[2]2026年度男装数据汇总分析--俄罗斯'!B4</f>
        <v>季度财报</v>
      </c>
      <c r="C4" s="8">
        <f>(C7+D7+E7)</f>
        <v>0</v>
      </c>
      <c r="D4" s="3"/>
      <c r="E4" s="7"/>
      <c r="F4" s="5">
        <f>(F7+G7+H7)</f>
        <v>0</v>
      </c>
      <c r="G4" s="3"/>
      <c r="H4" s="7"/>
      <c r="I4" s="25">
        <f>(I7+J7+K7)</f>
        <v>0</v>
      </c>
      <c r="J4" s="3"/>
      <c r="K4" s="7"/>
      <c r="L4" s="26">
        <f>(L7+M7+N7)</f>
        <v>0</v>
      </c>
      <c r="M4" s="3"/>
      <c r="N4" s="7"/>
      <c r="O4" s="6"/>
    </row>
    <row r="5" s="34" customFormat="1" spans="1:15">
      <c r="A5" s="9"/>
      <c r="B5" s="2" t="str">
        <f>'[2]2026年度男装数据汇总分析--俄罗斯'!B5</f>
        <v>季度财报进度</v>
      </c>
      <c r="C5" s="11">
        <f>(C7+D7+E7)/(C6+D6+E6)</f>
        <v>0</v>
      </c>
      <c r="D5" s="3"/>
      <c r="E5" s="7"/>
      <c r="F5" s="12">
        <f>(F7+G7+H7)/(F6+G6+H6)</f>
        <v>0</v>
      </c>
      <c r="G5" s="3"/>
      <c r="H5" s="7"/>
      <c r="I5" s="27">
        <f>(I7+J7+K7)/(I6+J6+K6)</f>
        <v>0</v>
      </c>
      <c r="J5" s="3"/>
      <c r="K5" s="7"/>
      <c r="L5" s="28">
        <f>(L7+M7+N7)/(L6+M6+N6)</f>
        <v>0</v>
      </c>
      <c r="M5" s="3"/>
      <c r="N5" s="7"/>
      <c r="O5" s="9"/>
    </row>
    <row r="6" s="34" customFormat="1" ht="31.2" customHeight="1" spans="1:15">
      <c r="A6" s="35" t="str">
        <f>'[2]2026年度男装数据汇总分析--俄罗斯'!A6</f>
        <v>目标完成情况</v>
      </c>
      <c r="B6" s="13" t="str">
        <f>'[2]2026年度男装数据汇总分析--俄罗斯'!B6</f>
        <v>月度目标
利润（人民币）</v>
      </c>
      <c r="C6" s="14">
        <f>'[2]2026年度男装数据汇总分析--俄罗斯'!C6</f>
        <v>445623.087260062</v>
      </c>
      <c r="D6" s="14">
        <f>'[2]2026年度男装数据汇总分析--俄罗斯'!D6</f>
        <v>485784.484418571</v>
      </c>
      <c r="E6" s="14">
        <f>'[2]2026年度男装数据汇总分析--俄罗斯'!E6</f>
        <v>449911.442788257</v>
      </c>
      <c r="F6" s="14">
        <f>'[2]2026年度男装数据汇总分析--俄罗斯'!F6</f>
        <v>464012.748298979</v>
      </c>
      <c r="G6" s="14">
        <f>'[2]2026年度男装数据汇总分析--俄罗斯'!G6</f>
        <v>543194.4</v>
      </c>
      <c r="H6" s="14">
        <f>'[2]2026年度男装数据汇总分析--俄罗斯'!H6</f>
        <v>606700.0576</v>
      </c>
      <c r="I6" s="14">
        <f>'[2]2026年度男装数据汇总分析--俄罗斯'!I6</f>
        <v>811749.7808</v>
      </c>
      <c r="J6" s="14">
        <f>'[2]2026年度男装数据汇总分析--俄罗斯'!J6</f>
        <v>972333.6</v>
      </c>
      <c r="K6" s="14">
        <f>'[2]2026年度男装数据汇总分析--俄罗斯'!K6</f>
        <v>1119372.8</v>
      </c>
      <c r="L6" s="14">
        <f>'[2]2026年度男装数据汇总分析--俄罗斯'!L6</f>
        <v>1129094.4</v>
      </c>
      <c r="M6" s="14">
        <f>'[2]2026年度男装数据汇总分析--俄罗斯'!M6</f>
        <v>1025732.96</v>
      </c>
      <c r="N6" s="14">
        <f>'[2]2026年度男装数据汇总分析--俄罗斯'!N6</f>
        <v>701760.64</v>
      </c>
      <c r="O6" s="36">
        <f>'[2]2026年度男装数据汇总分析--俄罗斯'!O6</f>
        <v>8755270.40116587</v>
      </c>
    </row>
    <row r="7" s="34" customFormat="1" spans="1:15">
      <c r="A7" s="6"/>
      <c r="B7" s="15" t="str">
        <f>'[2]2026年度男装数据汇总分析--俄罗斯'!B7</f>
        <v>实际利润（人民币）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="34" customFormat="1" spans="1:15">
      <c r="A8" s="6"/>
      <c r="B8" s="2" t="str">
        <f>'[2]2026年度男装数据汇总分析--俄罗斯'!B8</f>
        <v>目标完成进度</v>
      </c>
      <c r="C8" s="10">
        <f t="shared" ref="C8:N8" si="0">IFERROR(C7/C6,0)</f>
        <v>0</v>
      </c>
      <c r="D8" s="10">
        <f t="shared" si="0"/>
        <v>0</v>
      </c>
      <c r="E8" s="10">
        <f t="shared" si="0"/>
        <v>0</v>
      </c>
      <c r="F8" s="10">
        <f t="shared" si="0"/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0"/>
    </row>
    <row r="9" s="34" customFormat="1" spans="1:15">
      <c r="A9" s="6"/>
      <c r="B9" s="18">
        <f>'[2]2026年度男装数据汇总分析--俄罗斯'!B9</f>
        <v>0</v>
      </c>
      <c r="C9" s="19">
        <f>'[2]2026年度男装数据汇总分析--俄罗斯'!C9</f>
        <v>0</v>
      </c>
      <c r="D9" s="19">
        <f>'[2]2026年度男装数据汇总分析--俄罗斯'!D9</f>
        <v>0</v>
      </c>
      <c r="E9" s="19">
        <f>'[2]2026年度男装数据汇总分析--俄罗斯'!E9</f>
        <v>0</v>
      </c>
      <c r="F9" s="19">
        <f>'[2]2026年度男装数据汇总分析--俄罗斯'!F9</f>
        <v>0</v>
      </c>
      <c r="G9" s="19">
        <f>'[2]2026年度男装数据汇总分析--俄罗斯'!G9</f>
        <v>0</v>
      </c>
      <c r="H9" s="19">
        <f>'[2]2026年度男装数据汇总分析--俄罗斯'!H9</f>
        <v>0</v>
      </c>
      <c r="I9" s="19">
        <f>'[2]2026年度男装数据汇总分析--俄罗斯'!I9</f>
        <v>0</v>
      </c>
      <c r="J9" s="19">
        <f>'[2]2026年度男装数据汇总分析--俄罗斯'!J9</f>
        <v>0</v>
      </c>
      <c r="K9" s="19">
        <f>'[2]2026年度男装数据汇总分析--俄罗斯'!K9</f>
        <v>0</v>
      </c>
      <c r="L9" s="19">
        <f>'[2]2026年度男装数据汇总分析--俄罗斯'!L9</f>
        <v>0</v>
      </c>
      <c r="M9" s="19">
        <f>'[2]2026年度男装数据汇总分析--俄罗斯'!M9</f>
        <v>0</v>
      </c>
      <c r="N9" s="19">
        <f>'[2]2026年度男装数据汇总分析--俄罗斯'!N9</f>
        <v>0</v>
      </c>
      <c r="O9" s="30">
        <f>'[2]2026年度男装数据汇总分析--俄罗斯'!O9</f>
        <v>0</v>
      </c>
    </row>
    <row r="10" s="34" customFormat="1" spans="1:15">
      <c r="A10" s="6"/>
      <c r="B10" s="2" t="str">
        <f>'[2]2026年度男装数据汇总分析--俄罗斯'!B10</f>
        <v>销量目标</v>
      </c>
      <c r="C10" s="2">
        <f>'[2]2026年度男装数据汇总分析--俄罗斯'!C10</f>
        <v>29092</v>
      </c>
      <c r="D10" s="2">
        <f>'[2]2026年度男装数据汇总分析--俄罗斯'!D10</f>
        <v>31620</v>
      </c>
      <c r="E10" s="2">
        <f>'[2]2026年度男装数据汇总分析--俄罗斯'!E10</f>
        <v>29700</v>
      </c>
      <c r="F10" s="2">
        <f>'[2]2026年度男装数据汇总分析--俄罗斯'!F10</f>
        <v>31930</v>
      </c>
      <c r="G10" s="2">
        <f>'[2]2026年度男装数据汇总分析--俄罗斯'!G10</f>
        <v>36000</v>
      </c>
      <c r="H10" s="2">
        <f>'[2]2026年度男装数据汇总分析--俄罗斯'!H10</f>
        <v>40207</v>
      </c>
      <c r="I10" s="2">
        <f>'[2]2026年度男装数据汇总分析--俄罗斯'!I10</f>
        <v>53723</v>
      </c>
      <c r="J10" s="2">
        <f>'[2]2026年度男装数据汇总分析--俄罗斯'!J10</f>
        <v>64500</v>
      </c>
      <c r="K10" s="2">
        <f>'[2]2026年度男装数据汇总分析--俄罗斯'!K10</f>
        <v>74400</v>
      </c>
      <c r="L10" s="2">
        <f>'[2]2026年度男装数据汇总分析--俄罗斯'!L10</f>
        <v>75000</v>
      </c>
      <c r="M10" s="2">
        <f>'[2]2026年度男装数据汇总分析--俄罗斯'!M10</f>
        <v>68200</v>
      </c>
      <c r="N10" s="2">
        <f>'[2]2026年度男装数据汇总分析--俄罗斯'!N10</f>
        <v>46500</v>
      </c>
      <c r="O10" s="31">
        <f>'[2]2026年度男装数据汇总分析--俄罗斯'!O10</f>
        <v>580872</v>
      </c>
    </row>
    <row r="11" s="34" customFormat="1" spans="1:15">
      <c r="A11" s="6"/>
      <c r="B11" s="15" t="str">
        <f>'[2]2026年度男装数据汇总分析--俄罗斯'!B11</f>
        <v>销量完成</v>
      </c>
      <c r="C11" s="15">
        <v>28775</v>
      </c>
      <c r="D11" s="15">
        <v>39229</v>
      </c>
      <c r="E11" s="15">
        <v>32845</v>
      </c>
      <c r="F11" s="15">
        <v>33894</v>
      </c>
      <c r="G11" s="15">
        <v>26759</v>
      </c>
      <c r="H11" s="15">
        <v>17260</v>
      </c>
      <c r="I11" s="15"/>
      <c r="J11" s="15"/>
      <c r="K11" s="15"/>
      <c r="L11" s="15"/>
      <c r="M11" s="15"/>
      <c r="N11" s="15"/>
      <c r="O11" s="15"/>
    </row>
    <row r="12" s="34" customFormat="1" spans="1:15">
      <c r="A12" s="6"/>
      <c r="B12" s="2" t="str">
        <f>'[2]2026年度男装数据汇总分析--俄罗斯'!B12</f>
        <v>销量完成进度</v>
      </c>
      <c r="C12" s="10">
        <f t="shared" ref="C12:N12" si="1">IFERROR(C11/C10,0)</f>
        <v>0.989103533617489</v>
      </c>
      <c r="D12" s="10">
        <f t="shared" si="1"/>
        <v>1.24063883617963</v>
      </c>
      <c r="E12" s="10">
        <f t="shared" si="1"/>
        <v>1.10589225589226</v>
      </c>
      <c r="F12" s="10">
        <f t="shared" si="1"/>
        <v>1.06150955214532</v>
      </c>
      <c r="G12" s="10">
        <f t="shared" si="1"/>
        <v>0.743305555555556</v>
      </c>
      <c r="H12" s="10">
        <f t="shared" si="1"/>
        <v>0.429278483846096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0"/>
    </row>
    <row r="13" s="34" customFormat="1" spans="1:15">
      <c r="A13" s="6"/>
      <c r="B13" s="18">
        <f>'[2]2026年度男装数据汇总分析--俄罗斯'!B13</f>
        <v>0</v>
      </c>
      <c r="C13" s="19">
        <f>'[2]2026年度男装数据汇总分析--俄罗斯'!C13</f>
        <v>0</v>
      </c>
      <c r="D13" s="19">
        <f>'[2]2026年度男装数据汇总分析--俄罗斯'!D13</f>
        <v>0</v>
      </c>
      <c r="E13" s="19">
        <f>'[2]2026年度男装数据汇总分析--俄罗斯'!E13</f>
        <v>0</v>
      </c>
      <c r="F13" s="19">
        <f>'[2]2026年度男装数据汇总分析--俄罗斯'!F13</f>
        <v>0</v>
      </c>
      <c r="G13" s="19">
        <f>'[2]2026年度男装数据汇总分析--俄罗斯'!G13</f>
        <v>0</v>
      </c>
      <c r="H13" s="19">
        <f>'[2]2026年度男装数据汇总分析--俄罗斯'!H13</f>
        <v>0</v>
      </c>
      <c r="I13" s="19">
        <f>'[2]2026年度男装数据汇总分析--俄罗斯'!I13</f>
        <v>0</v>
      </c>
      <c r="J13" s="19">
        <f>'[2]2026年度男装数据汇总分析--俄罗斯'!J13</f>
        <v>0</v>
      </c>
      <c r="K13" s="19">
        <f>'[2]2026年度男装数据汇总分析--俄罗斯'!K13</f>
        <v>0</v>
      </c>
      <c r="L13" s="19">
        <f>'[2]2026年度男装数据汇总分析--俄罗斯'!L13</f>
        <v>0</v>
      </c>
      <c r="M13" s="19">
        <f>'[2]2026年度男装数据汇总分析--俄罗斯'!M13</f>
        <v>0</v>
      </c>
      <c r="N13" s="19">
        <f>'[2]2026年度男装数据汇总分析--俄罗斯'!N13</f>
        <v>0</v>
      </c>
      <c r="O13" s="30">
        <f>'[2]2026年度男装数据汇总分析--俄罗斯'!O13</f>
        <v>0</v>
      </c>
    </row>
    <row r="14" s="34" customFormat="1" spans="1:15">
      <c r="A14" s="6"/>
      <c r="B14" s="2" t="str">
        <f>'[2]2026年度男装数据汇总分析--俄罗斯'!B14</f>
        <v>实销目标</v>
      </c>
      <c r="C14" s="20">
        <f>'[2]2026年度男装数据汇总分析--俄罗斯'!C14</f>
        <v>9018.52</v>
      </c>
      <c r="D14" s="20">
        <f>'[2]2026年度男装数据汇总分析--俄罗斯'!D14</f>
        <v>9802.2</v>
      </c>
      <c r="E14" s="20">
        <f>'[2]2026年度男装数据汇总分析--俄罗斯'!E14</f>
        <v>9207</v>
      </c>
      <c r="F14" s="20">
        <f>'[2]2026年度男装数据汇总分析--俄罗斯'!F14</f>
        <v>9898.3</v>
      </c>
      <c r="G14" s="20">
        <f>'[2]2026年度男装数据汇总分析--俄罗斯'!G14</f>
        <v>11160</v>
      </c>
      <c r="H14" s="20">
        <f>'[2]2026年度男装数据汇总分析--俄罗斯'!H14</f>
        <v>12464.17</v>
      </c>
      <c r="I14" s="20">
        <f>'[2]2026年度男装数据汇总分析--俄罗斯'!I14</f>
        <v>16654.13</v>
      </c>
      <c r="J14" s="20">
        <f>'[2]2026年度男装数据汇总分析--俄罗斯'!J14</f>
        <v>19995</v>
      </c>
      <c r="K14" s="20">
        <f>'[2]2026年度男装数据汇总分析--俄罗斯'!K14</f>
        <v>23064</v>
      </c>
      <c r="L14" s="20">
        <f>'[2]2026年度男装数据汇总分析--俄罗斯'!L14</f>
        <v>23250</v>
      </c>
      <c r="M14" s="20">
        <f>'[2]2026年度男装数据汇总分析--俄罗斯'!M14</f>
        <v>21142</v>
      </c>
      <c r="N14" s="20">
        <f>'[2]2026年度男装数据汇总分析--俄罗斯'!N14</f>
        <v>14415</v>
      </c>
      <c r="O14" s="32">
        <f>'[2]2026年度男装数据汇总分析--俄罗斯'!O14</f>
        <v>180070.32</v>
      </c>
    </row>
    <row r="15" s="34" customFormat="1" spans="1:15">
      <c r="A15" s="6"/>
      <c r="B15" s="15" t="str">
        <f>'[2]2026年度男装数据汇总分析--俄罗斯'!B15</f>
        <v>实销完成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="34" customFormat="1" spans="1:15">
      <c r="A16" s="6"/>
      <c r="B16" s="2" t="str">
        <f>'[2]2026年度男装数据汇总分析--俄罗斯'!B16</f>
        <v>实销完成进度</v>
      </c>
      <c r="C16" s="10">
        <f t="shared" ref="C16:N16" si="2">IFERROR(C15/C14,0)</f>
        <v>0</v>
      </c>
      <c r="D16" s="10">
        <f t="shared" si="2"/>
        <v>0</v>
      </c>
      <c r="E16" s="10">
        <f t="shared" si="2"/>
        <v>0</v>
      </c>
      <c r="F16" s="10">
        <f t="shared" si="2"/>
        <v>0</v>
      </c>
      <c r="G16" s="10">
        <f t="shared" si="2"/>
        <v>0</v>
      </c>
      <c r="H16" s="10">
        <f t="shared" si="2"/>
        <v>0</v>
      </c>
      <c r="I16" s="10">
        <f t="shared" si="2"/>
        <v>0</v>
      </c>
      <c r="J16" s="10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0"/>
    </row>
    <row r="17" s="34" customFormat="1" spans="1:15">
      <c r="A17" s="6"/>
      <c r="B17" s="18">
        <f>'[2]2026年度男装数据汇总分析--俄罗斯'!B17</f>
        <v>0</v>
      </c>
      <c r="C17" s="19">
        <f>'[2]2026年度男装数据汇总分析--俄罗斯'!C17</f>
        <v>0</v>
      </c>
      <c r="D17" s="19">
        <f>'[2]2026年度男装数据汇总分析--俄罗斯'!D17</f>
        <v>0</v>
      </c>
      <c r="E17" s="19">
        <f>'[2]2026年度男装数据汇总分析--俄罗斯'!E17</f>
        <v>0</v>
      </c>
      <c r="F17" s="19">
        <f>'[2]2026年度男装数据汇总分析--俄罗斯'!F17</f>
        <v>0</v>
      </c>
      <c r="G17" s="19">
        <f>'[2]2026年度男装数据汇总分析--俄罗斯'!G17</f>
        <v>0</v>
      </c>
      <c r="H17" s="19">
        <f>'[2]2026年度男装数据汇总分析--俄罗斯'!H17</f>
        <v>0</v>
      </c>
      <c r="I17" s="19">
        <f>'[2]2026年度男装数据汇总分析--俄罗斯'!I17</f>
        <v>0</v>
      </c>
      <c r="J17" s="19">
        <f>'[2]2026年度男装数据汇总分析--俄罗斯'!J17</f>
        <v>0</v>
      </c>
      <c r="K17" s="19">
        <f>'[2]2026年度男装数据汇总分析--俄罗斯'!K17</f>
        <v>0</v>
      </c>
      <c r="L17" s="19">
        <f>'[2]2026年度男装数据汇总分析--俄罗斯'!L17</f>
        <v>0</v>
      </c>
      <c r="M17" s="19">
        <f>'[2]2026年度男装数据汇总分析--俄罗斯'!M17</f>
        <v>0</v>
      </c>
      <c r="N17" s="19">
        <f>'[2]2026年度男装数据汇总分析--俄罗斯'!N17</f>
        <v>0</v>
      </c>
      <c r="O17" s="30">
        <f>'[2]2026年度男装数据汇总分析--俄罗斯'!O17</f>
        <v>0</v>
      </c>
    </row>
    <row r="18" s="34" customFormat="1" spans="1:15">
      <c r="A18" s="6"/>
      <c r="B18" s="2" t="str">
        <f>'[2]2026年度男装数据汇总分析--俄罗斯'!B18</f>
        <v>GMV目标</v>
      </c>
      <c r="C18" s="23">
        <f>'[2]2026年度男装数据汇总分析--俄罗斯'!C18</f>
        <v>10045504</v>
      </c>
      <c r="D18" s="23">
        <f>'[2]2026年度男装数据汇总分析--俄罗斯'!D18</f>
        <v>10983920</v>
      </c>
      <c r="E18" s="23">
        <f>'[2]2026年度男装数据汇总分析--俄罗斯'!E18</f>
        <v>10324800</v>
      </c>
      <c r="F18" s="23">
        <f>'[2]2026年度男装数据汇总分析--俄罗斯'!F18</f>
        <v>11127760</v>
      </c>
      <c r="G18" s="23">
        <f>'[2]2026年度男装数据汇总分析--俄罗斯'!G18</f>
        <v>12516000</v>
      </c>
      <c r="H18" s="23">
        <f>'[2]2026年度男装数据汇总分析--俄罗斯'!H18</f>
        <v>13979264</v>
      </c>
      <c r="I18" s="23">
        <f>'[2]2026年度男装数据汇总分析--俄罗斯'!I18</f>
        <v>18703912</v>
      </c>
      <c r="J18" s="23">
        <f>'[2]2026年度男装数据汇总分析--俄罗斯'!J18</f>
        <v>22404000</v>
      </c>
      <c r="K18" s="23">
        <f>'[2]2026年度男装数据汇总分析--俄罗斯'!K18</f>
        <v>25792000</v>
      </c>
      <c r="L18" s="23">
        <f>'[2]2026年度男装数据汇总分析--俄罗斯'!L18</f>
        <v>26016000</v>
      </c>
      <c r="M18" s="23">
        <f>'[2]2026年度男装数据汇总分析--俄罗斯'!M18</f>
        <v>23634400</v>
      </c>
      <c r="N18" s="23">
        <f>'[2]2026年度男装数据汇总分析--俄罗斯'!N18</f>
        <v>16169600</v>
      </c>
      <c r="O18" s="29">
        <f>'[2]2026年度男装数据汇总分析--俄罗斯'!O18</f>
        <v>201697160</v>
      </c>
    </row>
    <row r="19" s="34" customFormat="1" spans="1:15">
      <c r="A19" s="6"/>
      <c r="B19" s="15" t="str">
        <f>'[2]2026年度男装数据汇总分析--俄罗斯'!B19</f>
        <v>GMV完成</v>
      </c>
      <c r="C19" s="24">
        <v>112522993</v>
      </c>
      <c r="D19" s="24">
        <v>166082381</v>
      </c>
      <c r="E19" s="24">
        <v>143465985</v>
      </c>
      <c r="F19" s="24">
        <v>147490056</v>
      </c>
      <c r="G19" s="24">
        <v>116055702</v>
      </c>
      <c r="H19" s="24">
        <v>76511844</v>
      </c>
      <c r="I19" s="24"/>
      <c r="J19" s="24"/>
      <c r="K19" s="24"/>
      <c r="L19" s="24"/>
      <c r="M19" s="24"/>
      <c r="N19" s="24"/>
      <c r="O19" s="16"/>
    </row>
    <row r="20" s="34" customFormat="1" spans="1:15">
      <c r="A20" s="6"/>
      <c r="B20" s="2" t="str">
        <f>'[2]2026年度男装数据汇总分析--俄罗斯'!B20</f>
        <v>GMV完成进度</v>
      </c>
      <c r="C20" s="10">
        <f t="shared" ref="C20:N20" si="3">IFERROR(C19/C18,0)</f>
        <v>11.2013287735488</v>
      </c>
      <c r="D20" s="10">
        <f t="shared" si="3"/>
        <v>15.1205016970262</v>
      </c>
      <c r="E20" s="10">
        <f t="shared" si="3"/>
        <v>13.8952798117155</v>
      </c>
      <c r="F20" s="10">
        <f t="shared" si="3"/>
        <v>13.2542448794726</v>
      </c>
      <c r="G20" s="10">
        <f t="shared" si="3"/>
        <v>9.27258724832215</v>
      </c>
      <c r="H20" s="10">
        <f t="shared" si="3"/>
        <v>5.47323836219131</v>
      </c>
      <c r="I20" s="10">
        <f t="shared" si="3"/>
        <v>0</v>
      </c>
      <c r="J20" s="10">
        <f t="shared" si="3"/>
        <v>0</v>
      </c>
      <c r="K20" s="10">
        <f t="shared" si="3"/>
        <v>0</v>
      </c>
      <c r="L20" s="10">
        <f t="shared" si="3"/>
        <v>0</v>
      </c>
      <c r="M20" s="10">
        <f t="shared" si="3"/>
        <v>0</v>
      </c>
      <c r="N20" s="10">
        <f t="shared" si="3"/>
        <v>0</v>
      </c>
      <c r="O20" s="10"/>
    </row>
    <row r="21" s="34" customFormat="1" spans="1:15">
      <c r="A21" s="6"/>
      <c r="B21" s="18">
        <f>'[2]2026年度男装数据汇总分析--俄罗斯'!B21</f>
        <v>0</v>
      </c>
      <c r="C21" s="19">
        <f>'[2]2026年度男装数据汇总分析--俄罗斯'!C21</f>
        <v>0</v>
      </c>
      <c r="D21" s="19">
        <f>'[2]2026年度男装数据汇总分析--俄罗斯'!D21</f>
        <v>0</v>
      </c>
      <c r="E21" s="19">
        <f>'[2]2026年度男装数据汇总分析--俄罗斯'!E21</f>
        <v>0</v>
      </c>
      <c r="F21" s="19">
        <f>'[2]2026年度男装数据汇总分析--俄罗斯'!F21</f>
        <v>0</v>
      </c>
      <c r="G21" s="19">
        <f>'[2]2026年度男装数据汇总分析--俄罗斯'!G21</f>
        <v>0</v>
      </c>
      <c r="H21" s="19">
        <f>'[2]2026年度男装数据汇总分析--俄罗斯'!H21</f>
        <v>0</v>
      </c>
      <c r="I21" s="19">
        <f>'[2]2026年度男装数据汇总分析--俄罗斯'!I21</f>
        <v>0</v>
      </c>
      <c r="J21" s="19">
        <f>'[2]2026年度男装数据汇总分析--俄罗斯'!J21</f>
        <v>0</v>
      </c>
      <c r="K21" s="19">
        <f>'[2]2026年度男装数据汇总分析--俄罗斯'!K21</f>
        <v>0</v>
      </c>
      <c r="L21" s="19">
        <f>'[2]2026年度男装数据汇总分析--俄罗斯'!L21</f>
        <v>0</v>
      </c>
      <c r="M21" s="19">
        <f>'[2]2026年度男装数据汇总分析--俄罗斯'!M21</f>
        <v>0</v>
      </c>
      <c r="N21" s="19">
        <f>'[2]2026年度男装数据汇总分析--俄罗斯'!N21</f>
        <v>0</v>
      </c>
      <c r="O21" s="30">
        <f>'[2]2026年度男装数据汇总分析--俄罗斯'!O21</f>
        <v>0</v>
      </c>
    </row>
    <row r="22" s="34" customFormat="1" spans="1:15">
      <c r="A22" s="6"/>
      <c r="B22" s="2" t="str">
        <f>'[2]2026年度男装数据汇总分析--俄罗斯'!B22</f>
        <v>GSV目标</v>
      </c>
      <c r="C22" s="23">
        <f>'[2]2026年度男装数据汇总分析--俄罗斯'!C22</f>
        <v>3214561.28</v>
      </c>
      <c r="D22" s="23">
        <f>'[2]2026年度男装数据汇总分析--俄罗斯'!D22</f>
        <v>3514854.4</v>
      </c>
      <c r="E22" s="23">
        <f>'[2]2026年度男装数据汇总分析--俄罗斯'!E22</f>
        <v>3303936</v>
      </c>
      <c r="F22" s="23">
        <f>'[2]2026年度男装数据汇总分析--俄罗斯'!F22</f>
        <v>3560883.2</v>
      </c>
      <c r="G22" s="23">
        <f>'[2]2026年度男装数据汇总分析--俄罗斯'!G22</f>
        <v>4005120</v>
      </c>
      <c r="H22" s="23">
        <f>'[2]2026年度男装数据汇总分析--俄罗斯'!H22</f>
        <v>4473364.48</v>
      </c>
      <c r="I22" s="23">
        <f>'[2]2026年度男装数据汇总分析--俄罗斯'!I22</f>
        <v>5985251.84</v>
      </c>
      <c r="J22" s="23">
        <f>'[2]2026年度男装数据汇总分析--俄罗斯'!J22</f>
        <v>7169280</v>
      </c>
      <c r="K22" s="23">
        <f>'[2]2026年度男装数据汇总分析--俄罗斯'!K22</f>
        <v>8253440</v>
      </c>
      <c r="L22" s="23">
        <f>'[2]2026年度男装数据汇总分析--俄罗斯'!L22</f>
        <v>8325120</v>
      </c>
      <c r="M22" s="23">
        <f>'[2]2026年度男装数据汇总分析--俄罗斯'!M22</f>
        <v>7563008</v>
      </c>
      <c r="N22" s="23">
        <f>'[2]2026年度男装数据汇总分析--俄罗斯'!N22</f>
        <v>5174272</v>
      </c>
      <c r="O22" s="29">
        <f>'[2]2026年度男装数据汇总分析--俄罗斯'!O22</f>
        <v>64543091.2</v>
      </c>
    </row>
    <row r="23" s="34" customFormat="1" spans="1:15">
      <c r="A23" s="6"/>
      <c r="B23" s="15" t="str">
        <f>'[2]2026年度男装数据汇总分析--俄罗斯'!B23</f>
        <v>GSV完成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16"/>
    </row>
    <row r="24" s="34" customFormat="1" spans="1:15">
      <c r="A24" s="6"/>
      <c r="B24" s="2" t="str">
        <f>'[2]2026年度男装数据汇总分析--俄罗斯'!B24</f>
        <v>GSV完成进度</v>
      </c>
      <c r="C24" s="10">
        <f t="shared" ref="C24:N24" si="4">IFERROR(C23/C22,0)</f>
        <v>0</v>
      </c>
      <c r="D24" s="10">
        <f t="shared" si="4"/>
        <v>0</v>
      </c>
      <c r="E24" s="10">
        <f t="shared" si="4"/>
        <v>0</v>
      </c>
      <c r="F24" s="10">
        <f t="shared" si="4"/>
        <v>0</v>
      </c>
      <c r="G24" s="10">
        <f t="shared" si="4"/>
        <v>0</v>
      </c>
      <c r="H24" s="10">
        <f t="shared" si="4"/>
        <v>0</v>
      </c>
      <c r="I24" s="10">
        <f t="shared" si="4"/>
        <v>0</v>
      </c>
      <c r="J24" s="10">
        <f t="shared" si="4"/>
        <v>0</v>
      </c>
      <c r="K24" s="10">
        <f t="shared" si="4"/>
        <v>0</v>
      </c>
      <c r="L24" s="10">
        <f t="shared" si="4"/>
        <v>0</v>
      </c>
      <c r="M24" s="10">
        <f t="shared" si="4"/>
        <v>0</v>
      </c>
      <c r="N24" s="10">
        <f t="shared" si="4"/>
        <v>0</v>
      </c>
      <c r="O24" s="10"/>
    </row>
    <row r="25" spans="2:14">
      <c r="B25" t="s">
        <v>0</v>
      </c>
      <c r="C25">
        <f t="shared" ref="C25:N25" si="5">IFERROR(C7/C23,0)</f>
        <v>0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</row>
    <row r="26" spans="2:3">
      <c r="B26" t="s">
        <v>1</v>
      </c>
      <c r="C26">
        <f>SUM(C6:N6)</f>
        <v>8755270.40116587</v>
      </c>
    </row>
    <row r="27" spans="2:3">
      <c r="B27" t="s">
        <v>2</v>
      </c>
      <c r="C27">
        <f>SUM(C7:N7)</f>
        <v>0</v>
      </c>
    </row>
    <row r="28" spans="2:3">
      <c r="B28" t="s">
        <v>3</v>
      </c>
      <c r="C28">
        <f>IFERROR(C27/C26,0)</f>
        <v>0</v>
      </c>
    </row>
    <row r="30" spans="2:3">
      <c r="B30" t="s">
        <v>4</v>
      </c>
      <c r="C30">
        <f>SUM(C22:N22)</f>
        <v>64543091.2</v>
      </c>
    </row>
    <row r="31" spans="2:3">
      <c r="B31" t="s">
        <v>5</v>
      </c>
      <c r="C31">
        <f>SUM(C23:N23)</f>
        <v>0</v>
      </c>
    </row>
    <row r="32" spans="2:3">
      <c r="B32" t="s">
        <v>6</v>
      </c>
      <c r="C32">
        <f>IFERROR(C31/C30,0)</f>
        <v>0</v>
      </c>
    </row>
    <row r="34" spans="2:3">
      <c r="B34" t="s">
        <v>7</v>
      </c>
      <c r="C34" t="s">
        <v>8</v>
      </c>
    </row>
    <row r="36" spans="2:3">
      <c r="B36" t="s">
        <v>9</v>
      </c>
      <c r="C36">
        <f>IFERROR(C27/C31,0)</f>
        <v>0</v>
      </c>
    </row>
    <row r="194" s="34" customFormat="1" spans="1:13">
      <c r="A194" s="37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54"/>
    </row>
    <row r="195" s="34" customFormat="1" spans="1:13">
      <c r="A195" s="39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55"/>
    </row>
    <row r="196" s="34" customFormat="1" spans="1:13">
      <c r="A196" s="41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56"/>
    </row>
    <row r="197" s="34" customFormat="1" spans="1:13">
      <c r="A197" s="43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57"/>
    </row>
    <row r="198" s="34" customFormat="1" spans="1:13">
      <c r="A198" s="43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57"/>
    </row>
    <row r="199" s="34" customFormat="1" spans="1:13">
      <c r="A199" s="43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57"/>
    </row>
    <row r="200" s="34" customFormat="1" spans="1:13">
      <c r="A200" s="43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57"/>
    </row>
    <row r="201" s="34" customFormat="1" spans="1:13">
      <c r="A201" s="43"/>
      <c r="B201" s="44"/>
      <c r="C201" s="3"/>
      <c r="D201" s="7"/>
      <c r="E201" s="44"/>
      <c r="F201" s="3"/>
      <c r="G201" s="7"/>
      <c r="H201" s="44"/>
      <c r="I201" s="3"/>
      <c r="J201" s="7"/>
      <c r="K201" s="44"/>
      <c r="L201" s="3"/>
      <c r="M201" s="7"/>
    </row>
    <row r="202" s="34" customFormat="1" spans="1:13">
      <c r="A202" s="39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55"/>
    </row>
    <row r="203" s="34" customFormat="1" spans="1:13">
      <c r="A203" s="41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56"/>
    </row>
    <row r="204" s="34" customFormat="1" spans="1:13">
      <c r="A204" s="43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57"/>
    </row>
    <row r="205" s="34" customFormat="1" spans="1:13">
      <c r="A205" s="43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57"/>
    </row>
    <row r="206" s="34" customFormat="1" spans="1:13">
      <c r="A206" s="43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57"/>
    </row>
    <row r="207" s="34" customFormat="1" spans="1:13">
      <c r="A207" s="43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57"/>
    </row>
    <row r="208" s="34" customFormat="1" spans="1:13">
      <c r="A208" s="43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57"/>
    </row>
    <row r="209" s="34" customFormat="1" spans="1:13">
      <c r="A209" s="43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57"/>
    </row>
    <row r="210" s="34" customFormat="1" spans="1:13">
      <c r="A210" s="43"/>
      <c r="B210" s="44"/>
      <c r="C210" s="3"/>
      <c r="D210" s="7"/>
      <c r="E210" s="44"/>
      <c r="F210" s="3"/>
      <c r="G210" s="7"/>
      <c r="H210" s="44"/>
      <c r="I210" s="3"/>
      <c r="J210" s="7"/>
      <c r="K210" s="44"/>
      <c r="L210" s="3"/>
      <c r="M210" s="7"/>
    </row>
    <row r="211" s="34" customFormat="1" spans="1:13">
      <c r="A211" s="39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55"/>
    </row>
    <row r="212" s="34" customFormat="1" spans="1:13">
      <c r="A212" s="41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56"/>
    </row>
    <row r="213" s="34" customFormat="1" spans="1:13">
      <c r="A213" s="43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</row>
    <row r="214" s="34" customFormat="1" spans="1:13">
      <c r="A214" s="43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57"/>
    </row>
    <row r="215" s="34" customFormat="1" spans="1:13">
      <c r="A215" s="45"/>
      <c r="B215" s="46"/>
      <c r="C215" s="47"/>
      <c r="D215" s="47"/>
      <c r="E215" s="47"/>
      <c r="F215" s="46"/>
      <c r="G215" s="46"/>
      <c r="H215" s="46"/>
      <c r="I215" s="47"/>
      <c r="J215" s="47"/>
      <c r="K215" s="47"/>
      <c r="L215" s="46"/>
      <c r="M215" s="58"/>
    </row>
    <row r="216" s="34" customFormat="1" spans="1:13">
      <c r="A216" s="39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55"/>
    </row>
    <row r="217" s="34" customFormat="1" spans="1:13">
      <c r="A217" s="41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56"/>
    </row>
    <row r="218" s="34" customFormat="1" spans="1:13">
      <c r="A218" s="43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</row>
    <row r="219" s="34" customFormat="1" spans="1:13">
      <c r="A219" s="43"/>
      <c r="B219" s="44"/>
      <c r="C219" s="3"/>
      <c r="D219" s="7"/>
      <c r="E219" s="44"/>
      <c r="F219" s="3"/>
      <c r="G219" s="7"/>
      <c r="H219" s="44"/>
      <c r="I219" s="3"/>
      <c r="J219" s="7"/>
      <c r="K219" s="44"/>
      <c r="L219" s="3"/>
      <c r="M219" s="7"/>
    </row>
    <row r="220" s="34" customFormat="1" spans="1:13">
      <c r="A220" s="43"/>
      <c r="B220" s="44"/>
      <c r="C220" s="3"/>
      <c r="D220" s="7"/>
      <c r="E220" s="44"/>
      <c r="F220" s="3"/>
      <c r="G220" s="7"/>
      <c r="H220" s="44"/>
      <c r="I220" s="3"/>
      <c r="J220" s="7"/>
      <c r="K220" s="44"/>
      <c r="L220" s="3"/>
      <c r="M220" s="7"/>
    </row>
    <row r="221" s="34" customFormat="1" spans="1:13">
      <c r="A221" s="43"/>
      <c r="B221" s="48"/>
      <c r="C221" s="3"/>
      <c r="D221" s="7"/>
      <c r="E221" s="48"/>
      <c r="F221" s="3"/>
      <c r="G221" s="7"/>
      <c r="H221" s="48"/>
      <c r="I221" s="3"/>
      <c r="J221" s="7"/>
      <c r="K221" s="48"/>
      <c r="L221" s="3"/>
      <c r="M221" s="7"/>
    </row>
    <row r="222" s="34" customFormat="1" spans="1:13">
      <c r="A222" s="45"/>
      <c r="B222" s="49"/>
      <c r="C222" s="3"/>
      <c r="D222" s="7"/>
      <c r="E222" s="49"/>
      <c r="F222" s="3"/>
      <c r="G222" s="7"/>
      <c r="H222" s="49"/>
      <c r="I222" s="3"/>
      <c r="J222" s="7"/>
      <c r="K222" s="49"/>
      <c r="L222" s="3"/>
      <c r="M222" s="7"/>
    </row>
    <row r="223" s="34" customFormat="1" ht="16.35" customHeight="1" spans="1:13">
      <c r="A223" s="50"/>
      <c r="B223" s="51"/>
      <c r="C223" s="52"/>
      <c r="D223" s="53"/>
      <c r="E223" s="51"/>
      <c r="F223" s="52"/>
      <c r="G223" s="53"/>
      <c r="H223" s="51"/>
      <c r="I223" s="52"/>
      <c r="J223" s="53"/>
      <c r="K223" s="51"/>
      <c r="L223" s="52"/>
      <c r="M223" s="53"/>
    </row>
  </sheetData>
  <mergeCells count="48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B201:D201"/>
    <mergeCell ref="E201:G201"/>
    <mergeCell ref="H201:J201"/>
    <mergeCell ref="K201:M201"/>
    <mergeCell ref="B210:D210"/>
    <mergeCell ref="E210:G210"/>
    <mergeCell ref="H210:J210"/>
    <mergeCell ref="K210:M210"/>
    <mergeCell ref="B219:D219"/>
    <mergeCell ref="E219:G219"/>
    <mergeCell ref="H219:J219"/>
    <mergeCell ref="K219:M219"/>
    <mergeCell ref="B220:D220"/>
    <mergeCell ref="E220:G220"/>
    <mergeCell ref="H220:J220"/>
    <mergeCell ref="K220:M220"/>
    <mergeCell ref="B221:D221"/>
    <mergeCell ref="E221:G221"/>
    <mergeCell ref="H221:J221"/>
    <mergeCell ref="K221:M221"/>
    <mergeCell ref="B222:D222"/>
    <mergeCell ref="E222:G222"/>
    <mergeCell ref="H222:J222"/>
    <mergeCell ref="K222:M222"/>
    <mergeCell ref="B223:D223"/>
    <mergeCell ref="E223:G223"/>
    <mergeCell ref="H223:J223"/>
    <mergeCell ref="K223:M223"/>
    <mergeCell ref="A2:A5"/>
    <mergeCell ref="A6:A24"/>
    <mergeCell ref="O2:O5"/>
    <mergeCell ref="A216:M217"/>
    <mergeCell ref="A195:M196"/>
    <mergeCell ref="A211:M212"/>
    <mergeCell ref="A202:M203"/>
  </mergeCells>
  <conditionalFormatting sqref="B7:O7">
    <cfRule type="cellIs" dxfId="0" priority="88" operator="greaterThan">
      <formula>0</formula>
    </cfRule>
  </conditionalFormatting>
  <conditionalFormatting sqref="C7:O7">
    <cfRule type="cellIs" dxfId="1" priority="82" operator="greaterThan">
      <formula>0</formula>
    </cfRule>
    <cfRule type="cellIs" dxfId="2" priority="81" operator="lessThan">
      <formula>0</formula>
    </cfRule>
  </conditionalFormatting>
  <conditionalFormatting sqref="C8:O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{c240c73b-a6d8-465c-bee3-1df3ee73261d}</x14:id>
        </ext>
      </extLst>
    </cfRule>
  </conditionalFormatting>
  <conditionalFormatting sqref="C12:O1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{e9ca0043-c0e0-4eb3-bbc0-6716357db54a}</x14:id>
        </ext>
      </extLst>
    </cfRule>
  </conditionalFormatting>
  <conditionalFormatting sqref="C16:O1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{d09f55ba-2eca-43ac-9e24-09b83bb8d777}</x14:id>
        </ext>
      </extLst>
    </cfRule>
  </conditionalFormatting>
  <conditionalFormatting sqref="C20:O2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{aa16cb84-32e7-4756-b2a7-8fea3070961f}</x14:id>
        </ext>
      </extLst>
    </cfRule>
  </conditionalFormatting>
  <conditionalFormatting sqref="C24:O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{68234ec1-e550-4d90-afea-49407fd9dbbf}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40c73b-a6d8-465c-bee3-1df3ee73261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C8:O8</xm:sqref>
        </x14:conditionalFormatting>
        <x14:conditionalFormatting xmlns:xm="http://schemas.microsoft.com/office/excel/2006/main">
          <x14:cfRule type="dataBar" id="{e9ca0043-c0e0-4eb3-bbc0-6716357db54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C12:O12</xm:sqref>
        </x14:conditionalFormatting>
        <x14:conditionalFormatting xmlns:xm="http://schemas.microsoft.com/office/excel/2006/main">
          <x14:cfRule type="dataBar" id="{d09f55ba-2eca-43ac-9e24-09b83bb8d77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C16:O16</xm:sqref>
        </x14:conditionalFormatting>
        <x14:conditionalFormatting xmlns:xm="http://schemas.microsoft.com/office/excel/2006/main">
          <x14:cfRule type="dataBar" id="{aa16cb84-32e7-4756-b2a7-8fea3070961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C20:O20</xm:sqref>
        </x14:conditionalFormatting>
        <x14:conditionalFormatting xmlns:xm="http://schemas.microsoft.com/office/excel/2006/main">
          <x14:cfRule type="dataBar" id="{68234ec1-e550-4d90-afea-49407fd9dbb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C24:O24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workbookViewId="0">
      <selection activeCell="C19" sqref="C19:N21"/>
    </sheetView>
  </sheetViews>
  <sheetFormatPr defaultColWidth="8.88888888888889" defaultRowHeight="14.4"/>
  <cols>
    <col min="1" max="1" width="14.1111111111111" style="1" customWidth="1"/>
    <col min="2" max="2" width="20.8888888888889" style="1" customWidth="1"/>
    <col min="3" max="14" width="15.5555555555556" style="1" customWidth="1"/>
    <col min="15" max="15" width="18.7777777777778" style="1" customWidth="1"/>
  </cols>
  <sheetData>
    <row r="1" ht="15.6" customHeight="1" spans="1:15">
      <c r="A1" s="2" t="str">
        <f>'[2]2026年度男装数据汇总分析--俄罗斯'!A1</f>
        <v>2026年度WB男装进度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</row>
    <row r="2" ht="15.6" customHeight="1" spans="1:15">
      <c r="A2" s="2" t="str">
        <f>'[2]2026年度男装数据汇总分析--俄罗斯'!A2</f>
        <v>项目</v>
      </c>
      <c r="B2" s="2" t="str">
        <f>'[2]2026年度男装数据汇总分析--俄罗斯'!B2</f>
        <v>月度</v>
      </c>
      <c r="C2" s="4" t="str">
        <f>'[2]2026年度男装数据汇总分析--俄罗斯'!C2</f>
        <v>2月</v>
      </c>
      <c r="D2" s="4" t="str">
        <f>'[2]2026年度男装数据汇总分析--俄罗斯'!D2</f>
        <v>3月</v>
      </c>
      <c r="E2" s="4" t="str">
        <f>'[2]2026年度男装数据汇总分析--俄罗斯'!E2</f>
        <v>4月</v>
      </c>
      <c r="F2" s="5" t="str">
        <f>'[2]2026年度男装数据汇总分析--俄罗斯'!F2</f>
        <v>5月</v>
      </c>
      <c r="G2" s="5" t="str">
        <f>'[2]2026年度男装数据汇总分析--俄罗斯'!G2</f>
        <v>6月</v>
      </c>
      <c r="H2" s="5" t="str">
        <f>'[2]2026年度男装数据汇总分析--俄罗斯'!H2</f>
        <v>7月</v>
      </c>
      <c r="I2" s="25" t="str">
        <f>'[2]2026年度男装数据汇总分析--俄罗斯'!I2</f>
        <v>8月</v>
      </c>
      <c r="J2" s="25" t="str">
        <f>'[2]2026年度男装数据汇总分析--俄罗斯'!J2</f>
        <v>9月</v>
      </c>
      <c r="K2" s="25" t="str">
        <f>'[2]2026年度男装数据汇总分析--俄罗斯'!K2</f>
        <v>10月</v>
      </c>
      <c r="L2" s="26" t="str">
        <f>'[2]2026年度男装数据汇总分析--俄罗斯'!L2</f>
        <v>11月</v>
      </c>
      <c r="M2" s="26" t="str">
        <f>'[2]2026年度男装数据汇总分析--俄罗斯'!M2</f>
        <v>12月</v>
      </c>
      <c r="N2" s="26" t="str">
        <f>'[2]2026年度男装数据汇总分析--俄罗斯'!N2</f>
        <v>1月</v>
      </c>
      <c r="O2" s="2" t="str">
        <f>'[2]2026年度男装数据汇总分析--俄罗斯'!O2</f>
        <v>汇总</v>
      </c>
    </row>
    <row r="3" ht="15.6" customHeight="1" spans="1:15">
      <c r="A3" s="6"/>
      <c r="B3" s="2" t="str">
        <f>'[2]2026年度男装数据汇总分析--俄罗斯'!B3</f>
        <v>季度</v>
      </c>
      <c r="C3" s="4" t="str">
        <f>'[2]2026年度男装数据汇总分析--俄罗斯'!C3</f>
        <v>Q1</v>
      </c>
      <c r="D3" s="3"/>
      <c r="E3" s="7"/>
      <c r="F3" s="5" t="str">
        <f>'[2]2026年度男装数据汇总分析--俄罗斯'!F3</f>
        <v>Q2</v>
      </c>
      <c r="G3" s="3"/>
      <c r="H3" s="7"/>
      <c r="I3" s="25" t="str">
        <f>'[2]2026年度男装数据汇总分析--俄罗斯'!I3</f>
        <v>Q3</v>
      </c>
      <c r="J3" s="3"/>
      <c r="K3" s="7"/>
      <c r="L3" s="26" t="str">
        <f>'[2]2026年度男装数据汇总分析--俄罗斯'!L3</f>
        <v>Q4</v>
      </c>
      <c r="M3" s="3"/>
      <c r="N3" s="7"/>
      <c r="O3" s="6"/>
    </row>
    <row r="4" ht="15.6" customHeight="1" spans="1:15">
      <c r="A4" s="6"/>
      <c r="B4" s="2" t="str">
        <f>'[2]2026年度男装数据汇总分析--俄罗斯'!B4</f>
        <v>季度财报</v>
      </c>
      <c r="C4" s="8">
        <f>(C7+D7+E7)</f>
        <v>1544430.31</v>
      </c>
      <c r="D4" s="3"/>
      <c r="E4" s="7"/>
      <c r="F4" s="5">
        <f>(F7+G7+H7)</f>
        <v>967435.92</v>
      </c>
      <c r="G4" s="3"/>
      <c r="H4" s="7"/>
      <c r="I4" s="25">
        <f>(I7+J7+K7)</f>
        <v>0</v>
      </c>
      <c r="J4" s="3"/>
      <c r="K4" s="7"/>
      <c r="L4" s="26">
        <f>(L7+M7+N7)</f>
        <v>0</v>
      </c>
      <c r="M4" s="3"/>
      <c r="N4" s="7"/>
      <c r="O4" s="6"/>
    </row>
    <row r="5" ht="15.6" customHeight="1" spans="1:15">
      <c r="A5" s="9"/>
      <c r="B5" s="2" t="str">
        <f>'[2]2026年度男装数据汇总分析--俄罗斯'!B5</f>
        <v>季度财报进度</v>
      </c>
      <c r="C5" s="11">
        <f>(C7+D7+E7)/(C6+D6+E6)</f>
        <v>1.47287982524718</v>
      </c>
      <c r="D5" s="3"/>
      <c r="E5" s="7"/>
      <c r="F5" s="12">
        <f>(F7+G7+H7)/(F6+G6+H6)</f>
        <v>0.931207015049731</v>
      </c>
      <c r="G5" s="3"/>
      <c r="H5" s="7"/>
      <c r="I5" s="27">
        <f>(I7+J7+K7)/(I6+J6+K6)</f>
        <v>0</v>
      </c>
      <c r="J5" s="3"/>
      <c r="K5" s="7"/>
      <c r="L5" s="28">
        <f>(L7+M7+N7)/(L6+M6+N6)</f>
        <v>0</v>
      </c>
      <c r="M5" s="3"/>
      <c r="N5" s="7"/>
      <c r="O5" s="9"/>
    </row>
    <row r="6" ht="31.2" customHeight="1" spans="1:15">
      <c r="A6" s="2" t="str">
        <f>'[2]2026年度男装数据汇总分析--俄罗斯'!A6</f>
        <v>目标完成情况</v>
      </c>
      <c r="B6" s="13" t="str">
        <f>'[2]2026年度男装数据汇总分析--俄罗斯'!B6</f>
        <v>月度目标
利润（人民币）</v>
      </c>
      <c r="C6" s="14">
        <f>'[2]2026目标拆解--郑志远'!B4</f>
        <v>329446.831260062</v>
      </c>
      <c r="D6" s="14">
        <f>'[2]2026目标拆解--郑志远'!C4</f>
        <v>370713.476418571</v>
      </c>
      <c r="E6" s="14">
        <f>'[2]2026目标拆解--郑志远'!D4</f>
        <v>348418.322788257</v>
      </c>
      <c r="F6" s="14">
        <f>'[2]2026目标拆解--郑志远'!E4</f>
        <v>325684.300298979</v>
      </c>
      <c r="G6" s="14">
        <f>'[2]2026目标拆解--郑志远'!F4</f>
        <v>340082.4</v>
      </c>
      <c r="H6" s="14">
        <f>'[2]2026目标拆解--郑志远'!G4</f>
        <v>373138.6176</v>
      </c>
      <c r="I6" s="14">
        <f>'[2]2026目标拆解--郑志远'!H4</f>
        <v>530830.2608</v>
      </c>
      <c r="J6" s="14">
        <f>'[2]2026目标拆解--郑志远'!I4</f>
        <v>611940</v>
      </c>
      <c r="K6" s="14">
        <f>'[2]2026目标拆解--郑志远'!J4</f>
        <v>655478.88</v>
      </c>
      <c r="L6" s="14">
        <f>'[2]2026目标拆解--郑志远'!K4</f>
        <v>680164.8</v>
      </c>
      <c r="M6" s="14">
        <f>'[2]2026目标拆解--郑志远'!L4</f>
        <v>656555.2</v>
      </c>
      <c r="N6" s="14">
        <f>'[2]2026目标拆解--郑志远'!M4</f>
        <v>468199.2</v>
      </c>
      <c r="O6" s="29">
        <f>SUM(C6:N6)</f>
        <v>5690652.28916587</v>
      </c>
    </row>
    <row r="7" ht="15.6" customHeight="1" spans="1:15">
      <c r="A7" s="6"/>
      <c r="B7" s="15" t="str">
        <f>'[2]2026年度男装数据汇总分析--俄罗斯'!B7</f>
        <v>实际利润（人民币）</v>
      </c>
      <c r="C7" s="16">
        <v>423883.91</v>
      </c>
      <c r="D7" s="16">
        <v>665543.4</v>
      </c>
      <c r="E7" s="16">
        <v>455003</v>
      </c>
      <c r="F7" s="16">
        <v>493282.35</v>
      </c>
      <c r="G7" s="16">
        <v>298329.53</v>
      </c>
      <c r="H7" s="16">
        <v>175824.04</v>
      </c>
      <c r="I7" s="16"/>
      <c r="J7" s="16"/>
      <c r="K7" s="16"/>
      <c r="L7" s="16"/>
      <c r="M7" s="16"/>
      <c r="N7" s="16"/>
      <c r="O7" s="16">
        <f>SUM(C7:N7)</f>
        <v>2511866.23</v>
      </c>
    </row>
    <row r="8" ht="15.6" customHeight="1" spans="1:15">
      <c r="A8" s="6"/>
      <c r="B8" s="2" t="str">
        <f>'[2]2026年度男装数据汇总分析--俄罗斯'!B8</f>
        <v>目标完成进度</v>
      </c>
      <c r="C8" s="10">
        <f t="shared" ref="C8:N8" si="0">IFERROR(C7/C6,0)</f>
        <v>1.28665347418501</v>
      </c>
      <c r="D8" s="10">
        <f t="shared" si="0"/>
        <v>1.79530403488364</v>
      </c>
      <c r="E8" s="10">
        <f t="shared" si="0"/>
        <v>1.30591008061455</v>
      </c>
      <c r="F8" s="10">
        <f t="shared" si="0"/>
        <v>1.51460279033151</v>
      </c>
      <c r="G8" s="10">
        <f t="shared" si="0"/>
        <v>0.877227195526731</v>
      </c>
      <c r="H8" s="10">
        <f t="shared" si="0"/>
        <v>0.471203010642231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7">
        <f>O7/O6</f>
        <v>0.44140216311972</v>
      </c>
    </row>
    <row r="9" ht="15.6" customHeight="1" spans="1:15">
      <c r="A9" s="6"/>
      <c r="B9" s="18">
        <f>'[2]2026年度男装数据汇总分析--俄罗斯'!B9</f>
        <v>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0">
        <f>'[1]特别隐藏版（勿动、勿看）'!O9</f>
        <v>0</v>
      </c>
    </row>
    <row r="10" ht="15.6" customHeight="1" spans="1:15">
      <c r="A10" s="6"/>
      <c r="B10" s="2" t="str">
        <f>'[2]2026年度男装数据汇总分析--俄罗斯'!B10</f>
        <v>销量目标</v>
      </c>
      <c r="C10" s="2">
        <f>'[2]2026目标拆解--郑志远'!B5</f>
        <v>21252</v>
      </c>
      <c r="D10" s="2">
        <f>'[2]2026目标拆解--郑志远'!C5</f>
        <v>23560</v>
      </c>
      <c r="E10" s="2">
        <f>'[2]2026目标拆解--郑志远'!D5</f>
        <v>22500</v>
      </c>
      <c r="F10" s="2">
        <f>'[2]2026目标拆解--郑志远'!E5</f>
        <v>21700</v>
      </c>
      <c r="G10" s="2">
        <f>'[2]2026目标拆解--郑志远'!F5</f>
        <v>22500</v>
      </c>
      <c r="H10" s="2">
        <f>'[2]2026目标拆解--郑志远'!G5</f>
        <v>24707</v>
      </c>
      <c r="I10" s="2">
        <f>'[2]2026目标拆解--郑志远'!H5</f>
        <v>35123</v>
      </c>
      <c r="J10" s="2">
        <f>'[2]2026目标拆解--郑志远'!I5</f>
        <v>40500</v>
      </c>
      <c r="K10" s="2">
        <f>'[2]2026目标拆解--郑志远'!J5</f>
        <v>43400</v>
      </c>
      <c r="L10" s="2">
        <f>'[2]2026目标拆解--郑志远'!K5</f>
        <v>45000</v>
      </c>
      <c r="M10" s="2">
        <f>'[2]2026目标拆解--郑志远'!L5</f>
        <v>43400</v>
      </c>
      <c r="N10" s="2">
        <f>'[2]2026目标拆解--郑志远'!M5</f>
        <v>31000</v>
      </c>
      <c r="O10" s="31">
        <f>SUM(C10:N10)</f>
        <v>374642</v>
      </c>
    </row>
    <row r="11" ht="15.6" customHeight="1" spans="1:15">
      <c r="A11" s="6"/>
      <c r="B11" s="15" t="str">
        <f>'[2]2026年度男装数据汇总分析--俄罗斯'!B11</f>
        <v>销量完成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>
        <f>SUM(C11:N11)</f>
        <v>0</v>
      </c>
    </row>
    <row r="12" ht="15.6" customHeight="1" spans="1:15">
      <c r="A12" s="6"/>
      <c r="B12" s="2" t="str">
        <f>'[2]2026年度男装数据汇总分析--俄罗斯'!B12</f>
        <v>销量完成进度</v>
      </c>
      <c r="C12" s="10">
        <f t="shared" ref="C12:N12" si="1">IFERROR(C11/C10,0)</f>
        <v>0</v>
      </c>
      <c r="D12" s="10">
        <f t="shared" si="1"/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7">
        <f>O11/O10</f>
        <v>0</v>
      </c>
    </row>
    <row r="13" ht="15.6" customHeight="1" spans="1:15">
      <c r="A13" s="6"/>
      <c r="B13" s="18">
        <f>'[2]2026年度男装数据汇总分析--俄罗斯'!B13</f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30">
        <f>'[1]特别隐藏版（勿动、勿看）'!O13</f>
        <v>0</v>
      </c>
    </row>
    <row r="14" ht="15.6" customHeight="1" spans="1:15">
      <c r="A14" s="6"/>
      <c r="B14" s="2" t="str">
        <f>'[2]2026年度男装数据汇总分析--俄罗斯'!B14</f>
        <v>实销目标</v>
      </c>
      <c r="C14" s="20">
        <f>'[2]2026目标拆解--郑志远'!B6</f>
        <v>6588.12</v>
      </c>
      <c r="D14" s="20">
        <f>'[2]2026目标拆解--郑志远'!C6</f>
        <v>7303.6</v>
      </c>
      <c r="E14" s="20">
        <f>'[2]2026目标拆解--郑志远'!D6</f>
        <v>6975</v>
      </c>
      <c r="F14" s="20">
        <f>'[2]2026目标拆解--郑志远'!E6</f>
        <v>6727</v>
      </c>
      <c r="G14" s="20">
        <f>'[2]2026目标拆解--郑志远'!F6</f>
        <v>6975</v>
      </c>
      <c r="H14" s="20">
        <f>'[2]2026目标拆解--郑志远'!G6</f>
        <v>7659.17</v>
      </c>
      <c r="I14" s="20">
        <f>'[2]2026目标拆解--郑志远'!H6</f>
        <v>10888.13</v>
      </c>
      <c r="J14" s="20">
        <f>'[2]2026目标拆解--郑志远'!I6</f>
        <v>12555</v>
      </c>
      <c r="K14" s="20">
        <f>'[2]2026目标拆解--郑志远'!J6</f>
        <v>13454</v>
      </c>
      <c r="L14" s="20">
        <f>'[2]2026目标拆解--郑志远'!K6</f>
        <v>13950</v>
      </c>
      <c r="M14" s="20">
        <f>'[2]2026目标拆解--郑志远'!L6</f>
        <v>13454</v>
      </c>
      <c r="N14" s="20">
        <f>'[2]2026目标拆解--郑志远'!M6</f>
        <v>9610</v>
      </c>
      <c r="O14" s="31">
        <f>SUM(C14:N14)</f>
        <v>116139.02</v>
      </c>
    </row>
    <row r="15" ht="15.6" customHeight="1" spans="1:15">
      <c r="A15" s="6"/>
      <c r="B15" s="15" t="str">
        <f>'[2]2026年度男装数据汇总分析--俄罗斯'!B15</f>
        <v>实销完成</v>
      </c>
      <c r="C15" s="15">
        <v>6799</v>
      </c>
      <c r="D15" s="15">
        <v>9679</v>
      </c>
      <c r="E15" s="15">
        <v>8226</v>
      </c>
      <c r="F15" s="15">
        <v>8174</v>
      </c>
      <c r="G15" s="15">
        <v>5032</v>
      </c>
      <c r="H15" s="15">
        <v>2986</v>
      </c>
      <c r="I15" s="15"/>
      <c r="J15" s="15"/>
      <c r="K15" s="15"/>
      <c r="L15" s="15"/>
      <c r="M15" s="15"/>
      <c r="N15" s="15"/>
      <c r="O15" s="15">
        <f>SUM(C15:N15)</f>
        <v>40896</v>
      </c>
    </row>
    <row r="16" ht="15.6" customHeight="1" spans="1:15">
      <c r="A16" s="6"/>
      <c r="B16" s="2" t="str">
        <f>'[2]2026年度男装数据汇总分析--俄罗斯'!B16</f>
        <v>实销完成进度</v>
      </c>
      <c r="C16" s="10">
        <f t="shared" ref="C16:N16" si="2">IFERROR(C15/C14,0)</f>
        <v>1.03200913158837</v>
      </c>
      <c r="D16" s="10">
        <f t="shared" si="2"/>
        <v>1.32523686948902</v>
      </c>
      <c r="E16" s="10">
        <f t="shared" si="2"/>
        <v>1.17935483870968</v>
      </c>
      <c r="F16" s="10">
        <f t="shared" si="2"/>
        <v>1.21510331499926</v>
      </c>
      <c r="G16" s="10">
        <f t="shared" si="2"/>
        <v>0.721433691756272</v>
      </c>
      <c r="H16" s="10">
        <f t="shared" si="2"/>
        <v>0.389859475635088</v>
      </c>
      <c r="I16" s="10">
        <f t="shared" si="2"/>
        <v>0</v>
      </c>
      <c r="J16" s="10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7">
        <f>O15/O14</f>
        <v>0.352129714888243</v>
      </c>
    </row>
    <row r="17" ht="15.6" customHeight="1" spans="1:15">
      <c r="A17" s="6"/>
      <c r="B17" s="18">
        <f>'[2]2026年度男装数据汇总分析--俄罗斯'!B17</f>
        <v>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30">
        <f>'[1]特别隐藏版（勿动、勿看）'!O17</f>
        <v>0</v>
      </c>
    </row>
    <row r="18" ht="15.6" customHeight="1" spans="1:15">
      <c r="A18" s="6"/>
      <c r="B18" s="21" t="str">
        <f>'[2]2026年度男装数据汇总分析--俄罗斯'!B18</f>
        <v>GMV目标</v>
      </c>
      <c r="C18" s="21">
        <f>'[2]2026目标拆解--郑志远'!B8</f>
        <v>92836800</v>
      </c>
      <c r="D18" s="21">
        <f>'[2]2026目标拆解--郑志远'!C8</f>
        <v>103044000</v>
      </c>
      <c r="E18" s="21">
        <f>'[2]2026目标拆解--郑志远'!D8</f>
        <v>98280000</v>
      </c>
      <c r="F18" s="21">
        <f>'[2]2026目标拆解--郑志远'!E8</f>
        <v>94550000</v>
      </c>
      <c r="G18" s="21">
        <f>'[2]2026目标拆解--郑志远'!F8</f>
        <v>97950000</v>
      </c>
      <c r="H18" s="21">
        <f>'[2]2026目标拆解--郑志远'!G8</f>
        <v>107470800</v>
      </c>
      <c r="I18" s="21">
        <f>'[2]2026目标拆解--郑志远'!H8</f>
        <v>152888900</v>
      </c>
      <c r="J18" s="21">
        <f>'[2]2026目标拆解--郑志远'!I8</f>
        <v>176250000</v>
      </c>
      <c r="K18" s="21">
        <f>'[2]2026目标拆解--郑志远'!J8</f>
        <v>188790000</v>
      </c>
      <c r="L18" s="21">
        <f>'[2]2026目标拆解--郑志远'!K8</f>
        <v>195900000</v>
      </c>
      <c r="M18" s="21">
        <f>'[2]2026目标拆解--郑志远'!L8</f>
        <v>189100000</v>
      </c>
      <c r="N18" s="21">
        <f>'[2]2026目标拆解--郑志远'!M8</f>
        <v>134850000</v>
      </c>
      <c r="O18" s="33">
        <f>SUM(C18:N18)</f>
        <v>1631910500</v>
      </c>
    </row>
    <row r="19" ht="15.6" customHeight="1" spans="1:15">
      <c r="A19" s="6"/>
      <c r="B19" s="22" t="str">
        <f>'[2]2026年度男装数据汇总分析--俄罗斯'!B19</f>
        <v>GMV完成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>
        <f>SUM(C19:N19)</f>
        <v>0</v>
      </c>
    </row>
    <row r="20" ht="15.6" customHeight="1" spans="1:15">
      <c r="A20" s="6"/>
      <c r="B20" s="17" t="str">
        <f>'[2]2026年度男装数据汇总分析--俄罗斯'!B20</f>
        <v>GMV完成进度</v>
      </c>
      <c r="C20" s="17">
        <f t="shared" ref="C20:N20" si="3">IFERROR(C19/C18,0)</f>
        <v>0</v>
      </c>
      <c r="D20" s="17">
        <f t="shared" si="3"/>
        <v>0</v>
      </c>
      <c r="E20" s="17">
        <f t="shared" si="3"/>
        <v>0</v>
      </c>
      <c r="F20" s="17">
        <f t="shared" si="3"/>
        <v>0</v>
      </c>
      <c r="G20" s="17">
        <f t="shared" si="3"/>
        <v>0</v>
      </c>
      <c r="H20" s="17">
        <f t="shared" si="3"/>
        <v>0</v>
      </c>
      <c r="I20" s="17">
        <f t="shared" si="3"/>
        <v>0</v>
      </c>
      <c r="J20" s="17">
        <f t="shared" si="3"/>
        <v>0</v>
      </c>
      <c r="K20" s="17">
        <f t="shared" si="3"/>
        <v>0</v>
      </c>
      <c r="L20" s="17">
        <f t="shared" si="3"/>
        <v>0</v>
      </c>
      <c r="M20" s="17">
        <f t="shared" si="3"/>
        <v>0</v>
      </c>
      <c r="N20" s="17">
        <f t="shared" si="3"/>
        <v>0</v>
      </c>
      <c r="O20" s="17">
        <f>O19/O18</f>
        <v>0</v>
      </c>
    </row>
    <row r="21" ht="15.6" customHeight="1" spans="1:15">
      <c r="A21" s="6"/>
      <c r="B21" s="18">
        <f>'[2]2026年度男装数据汇总分析--俄罗斯'!B21</f>
        <v>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0">
        <f>'[1]特别隐藏版（勿动、勿看）'!O21</f>
        <v>0</v>
      </c>
    </row>
    <row r="22" ht="15.6" customHeight="1" spans="1:15">
      <c r="A22" s="6"/>
      <c r="B22" s="2" t="str">
        <f>'[2]2026年度男装数据汇总分析--俄罗斯'!B22</f>
        <v>GSV目标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9">
        <f>SUM(C22:N22)</f>
        <v>0</v>
      </c>
    </row>
    <row r="23" ht="15.6" customHeight="1" spans="1:15">
      <c r="A23" s="6"/>
      <c r="B23" s="15" t="str">
        <f>'[2]2026年度男装数据汇总分析--俄罗斯'!B23</f>
        <v>GSV完成</v>
      </c>
      <c r="C23" s="24">
        <v>2467925.56</v>
      </c>
      <c r="D23" s="24">
        <v>3686027.84</v>
      </c>
      <c r="E23" s="24">
        <v>3072439.95</v>
      </c>
      <c r="F23" s="24">
        <v>3206396.17</v>
      </c>
      <c r="G23" s="24">
        <v>2109791.82</v>
      </c>
      <c r="H23" s="24">
        <v>1157835</v>
      </c>
      <c r="I23" s="24"/>
      <c r="J23" s="24"/>
      <c r="K23" s="24"/>
      <c r="L23" s="24"/>
      <c r="M23" s="24"/>
      <c r="N23" s="24"/>
      <c r="O23" s="16">
        <f>SUM(C23:N23)</f>
        <v>15700416.34</v>
      </c>
    </row>
    <row r="24" ht="15.6" customHeight="1" spans="1:15">
      <c r="A24" s="6"/>
      <c r="B24" s="2" t="str">
        <f>'[2]2026年度男装数据汇总分析--俄罗斯'!B24</f>
        <v>GSV完成进度</v>
      </c>
      <c r="C24" s="10">
        <f t="shared" ref="C24:N24" si="4">IFERROR(C23/C22,0)</f>
        <v>0</v>
      </c>
      <c r="D24" s="10">
        <f t="shared" si="4"/>
        <v>0</v>
      </c>
      <c r="E24" s="10">
        <f t="shared" si="4"/>
        <v>0</v>
      </c>
      <c r="F24" s="10">
        <f t="shared" si="4"/>
        <v>0</v>
      </c>
      <c r="G24" s="10">
        <f t="shared" si="4"/>
        <v>0</v>
      </c>
      <c r="H24" s="10">
        <f t="shared" si="4"/>
        <v>0</v>
      </c>
      <c r="I24" s="10">
        <f t="shared" si="4"/>
        <v>0</v>
      </c>
      <c r="J24" s="10">
        <f t="shared" si="4"/>
        <v>0</v>
      </c>
      <c r="K24" s="10">
        <f t="shared" si="4"/>
        <v>0</v>
      </c>
      <c r="L24" s="10">
        <f t="shared" si="4"/>
        <v>0</v>
      </c>
      <c r="M24" s="10">
        <f t="shared" si="4"/>
        <v>0</v>
      </c>
      <c r="N24" s="10">
        <f t="shared" si="4"/>
        <v>0</v>
      </c>
      <c r="O24" s="17" t="e">
        <f>O23/O22</f>
        <v>#DIV/0!</v>
      </c>
    </row>
    <row r="25" ht="15.6" customHeight="1" spans="1:15">
      <c r="A25" s="6"/>
      <c r="B25" s="18">
        <f>'[2]2026年度男装数据汇总分析--俄罗斯'!B25</f>
        <v>0</v>
      </c>
      <c r="C25" s="19">
        <f>'[2]2026年度男装数据汇总分析--俄罗斯'!C25</f>
        <v>0</v>
      </c>
      <c r="D25" s="19">
        <f>'[2]2026年度男装数据汇总分析--俄罗斯'!D25</f>
        <v>0</v>
      </c>
      <c r="E25" s="19">
        <f>'[2]2026年度男装数据汇总分析--俄罗斯'!E25</f>
        <v>0</v>
      </c>
      <c r="F25" s="19">
        <f>'[2]2026年度男装数据汇总分析--俄罗斯'!F25</f>
        <v>0</v>
      </c>
      <c r="G25" s="19">
        <f>'[2]2026年度男装数据汇总分析--俄罗斯'!G25</f>
        <v>0</v>
      </c>
      <c r="H25" s="19">
        <f>'[2]2026年度男装数据汇总分析--俄罗斯'!H25</f>
        <v>0</v>
      </c>
      <c r="I25" s="19">
        <f>'[2]2026年度男装数据汇总分析--俄罗斯'!I25</f>
        <v>0</v>
      </c>
      <c r="J25" s="19">
        <f>'[2]2026年度男装数据汇总分析--俄罗斯'!J25</f>
        <v>0</v>
      </c>
      <c r="K25" s="19">
        <f>'[2]2026年度男装数据汇总分析--俄罗斯'!K25</f>
        <v>0</v>
      </c>
      <c r="L25" s="19">
        <f>'[2]2026年度男装数据汇总分析--俄罗斯'!L25</f>
        <v>0</v>
      </c>
      <c r="M25" s="19">
        <f>'[2]2026年度男装数据汇总分析--俄罗斯'!M25</f>
        <v>0</v>
      </c>
      <c r="N25" s="19">
        <f>'[2]2026年度男装数据汇总分析--俄罗斯'!N25</f>
        <v>0</v>
      </c>
      <c r="O25" s="30">
        <f>'[1]特别隐藏版（勿动、勿看）'!O25</f>
        <v>0</v>
      </c>
    </row>
    <row r="26" ht="15.6" customHeight="1" spans="1:15">
      <c r="A26" s="6"/>
      <c r="B26" s="2" t="str">
        <f>'[2]2026年度男装数据汇总分析--俄罗斯'!B26</f>
        <v>退款率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6" customHeight="1" spans="1:15">
      <c r="A27" s="6"/>
      <c r="B27" s="2" t="str">
        <f>'[2]2026年度男装数据汇总分析--俄罗斯'!B27</f>
        <v>退货率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6" customHeight="1" spans="1:15">
      <c r="A28" s="6"/>
      <c r="B28" s="2" t="str">
        <f>'[2]2026年度男装数据汇总分析--俄罗斯'!B28</f>
        <v>利润率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ht="15.6" customHeight="1" spans="1:15">
      <c r="A29" s="9"/>
      <c r="B29" s="18">
        <f>'[2]2026年度男装数据汇总分析--俄罗斯'!B29</f>
        <v>0</v>
      </c>
      <c r="C29" s="19">
        <f>'[2]2026年度男装数据汇总分析--俄罗斯'!C29</f>
        <v>0</v>
      </c>
      <c r="D29" s="19">
        <f>'[2]2026年度男装数据汇总分析--俄罗斯'!D29</f>
        <v>0</v>
      </c>
      <c r="E29" s="19">
        <f>'[2]2026年度男装数据汇总分析--俄罗斯'!E29</f>
        <v>0</v>
      </c>
      <c r="F29" s="19">
        <f>'[2]2026年度男装数据汇总分析--俄罗斯'!F29</f>
        <v>0</v>
      </c>
      <c r="G29" s="19">
        <f>'[2]2026年度男装数据汇总分析--俄罗斯'!G29</f>
        <v>0</v>
      </c>
      <c r="H29" s="19">
        <f>'[2]2026年度男装数据汇总分析--俄罗斯'!H29</f>
        <v>0</v>
      </c>
      <c r="I29" s="19">
        <f>'[2]2026年度男装数据汇总分析--俄罗斯'!I29</f>
        <v>0</v>
      </c>
      <c r="J29" s="19">
        <f>'[2]2026年度男装数据汇总分析--俄罗斯'!J29</f>
        <v>0</v>
      </c>
      <c r="K29" s="19">
        <f>'[2]2026年度男装数据汇总分析--俄罗斯'!K29</f>
        <v>0</v>
      </c>
      <c r="L29" s="19">
        <f>'[2]2026年度男装数据汇总分析--俄罗斯'!L29</f>
        <v>0</v>
      </c>
      <c r="M29" s="19">
        <f>'[2]2026年度男装数据汇总分析--俄罗斯'!M29</f>
        <v>0</v>
      </c>
      <c r="N29" s="19">
        <f>'[2]2026年度男装数据汇总分析--俄罗斯'!N29</f>
        <v>0</v>
      </c>
      <c r="O29" s="30">
        <f>'[2]2026年度男装数据汇总分析--俄罗斯'!O29</f>
        <v>0</v>
      </c>
    </row>
    <row r="30" spans="2:14">
      <c r="B30" t="s">
        <v>0</v>
      </c>
      <c r="C30">
        <f t="shared" ref="C30:N30" si="5">IFERROR(C7/C23,0)</f>
        <v>0.171757170017721</v>
      </c>
      <c r="D30">
        <f t="shared" si="5"/>
        <v>0.180558430074147</v>
      </c>
      <c r="E30">
        <f t="shared" si="5"/>
        <v>0.148091747081989</v>
      </c>
      <c r="F30">
        <f t="shared" si="5"/>
        <v>0.153843232042034</v>
      </c>
      <c r="G30">
        <f t="shared" si="5"/>
        <v>0.14140235409577</v>
      </c>
      <c r="H30">
        <f t="shared" si="5"/>
        <v>0.151855868927783</v>
      </c>
      <c r="I30">
        <f t="shared" si="5"/>
        <v>0</v>
      </c>
      <c r="J30">
        <f t="shared" si="5"/>
        <v>0</v>
      </c>
      <c r="K30">
        <f t="shared" si="5"/>
        <v>0</v>
      </c>
      <c r="L30">
        <f t="shared" si="5"/>
        <v>0</v>
      </c>
      <c r="M30">
        <f t="shared" si="5"/>
        <v>0</v>
      </c>
      <c r="N30">
        <f t="shared" si="5"/>
        <v>0</v>
      </c>
    </row>
    <row r="31" spans="2:3">
      <c r="B31" t="s">
        <v>1</v>
      </c>
      <c r="C31">
        <f>SUM(C6:N6)</f>
        <v>5690652.28916587</v>
      </c>
    </row>
    <row r="32" spans="2:3">
      <c r="B32" t="s">
        <v>2</v>
      </c>
      <c r="C32">
        <f>SUM(C7:N7)</f>
        <v>2511866.23</v>
      </c>
    </row>
    <row r="33" spans="2:3">
      <c r="B33" t="s">
        <v>3</v>
      </c>
      <c r="C33">
        <f>IFERROR(C32/C31,0)</f>
        <v>0.44140216311972</v>
      </c>
    </row>
    <row r="35" spans="2:3">
      <c r="B35" t="s">
        <v>4</v>
      </c>
      <c r="C35">
        <f>SUM(C22:N22)</f>
        <v>0</v>
      </c>
    </row>
    <row r="36" spans="2:3">
      <c r="B36" t="s">
        <v>5</v>
      </c>
      <c r="C36">
        <f>SUM(C23:N23)</f>
        <v>15700416.34</v>
      </c>
    </row>
    <row r="37" spans="2:3">
      <c r="B37" t="s">
        <v>6</v>
      </c>
      <c r="C37">
        <f>IFERROR(C36/C35,0)</f>
        <v>0</v>
      </c>
    </row>
    <row r="39" spans="2:3">
      <c r="B39" t="s">
        <v>7</v>
      </c>
      <c r="C39" t="s">
        <v>8</v>
      </c>
    </row>
    <row r="41" spans="2:3">
      <c r="B41" t="s">
        <v>9</v>
      </c>
      <c r="C41">
        <f>IFERROR(C32/C36,0)</f>
        <v>0.159987237000876</v>
      </c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conditionalFormatting sqref="B7:N7">
    <cfRule type="cellIs" dxfId="0" priority="26" operator="greaterThan">
      <formula>0</formula>
    </cfRule>
  </conditionalFormatting>
  <conditionalFormatting sqref="C7:N7">
    <cfRule type="cellIs" dxfId="1" priority="21" operator="greaterThan">
      <formula>0</formula>
    </cfRule>
    <cfRule type="cellIs" dxfId="2" priority="20" operator="lessThan">
      <formula>0</formula>
    </cfRule>
  </conditionalFormatting>
  <conditionalFormatting sqref="O7">
    <cfRule type="cellIs" dxfId="0" priority="15" operator="greaterThan">
      <formula>0</formula>
    </cfRule>
    <cfRule type="cellIs" dxfId="1" priority="14" operator="greaterThan">
      <formula>0</formula>
    </cfRule>
    <cfRule type="cellIs" dxfId="2" priority="13" operator="lessThan">
      <formula>0</formula>
    </cfRule>
  </conditionalFormatting>
  <conditionalFormatting sqref="C8:N8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{bc28b022-87a3-4a5d-bc70-4659d5e8bd56}</x14:id>
        </ext>
      </extLst>
    </cfRule>
  </conditionalFormatting>
  <conditionalFormatting sqref="O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{bf7d8faf-f3cb-42f4-806e-da3bbf17d4c8}</x14:id>
        </ext>
      </extLst>
    </cfRule>
  </conditionalFormatting>
  <conditionalFormatting sqref="C12:N12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{a08e48fd-fd23-4496-933e-6662e9f1ec29}</x14:id>
        </ext>
      </extLst>
    </cfRule>
  </conditionalFormatting>
  <conditionalFormatting sqref="O1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{992bfb5d-50b4-469c-86c2-084f919fc0ce}</x14:id>
        </ext>
      </extLst>
    </cfRule>
  </conditionalFormatting>
  <conditionalFormatting sqref="C16:N1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{1c2db4e4-e779-4439-ab06-a66bc23fa1db}</x14:id>
        </ext>
      </extLst>
    </cfRule>
  </conditionalFormatting>
  <conditionalFormatting sqref="O1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{1171df8f-04df-494d-a3f6-4a96c47fe262}</x14:id>
        </ext>
      </extLst>
    </cfRule>
  </conditionalFormatting>
  <conditionalFormatting sqref="B20:N2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{fac421bf-f16c-4289-a45a-6ed6921883e3}</x14:id>
        </ext>
      </extLst>
    </cfRule>
  </conditionalFormatting>
  <conditionalFormatting sqref="O2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{65e0ea9f-d8e4-430e-9b23-a77ee4c94f09}</x14:id>
        </ext>
      </extLst>
    </cfRule>
  </conditionalFormatting>
  <conditionalFormatting sqref="C24:N2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{2fcd3372-e3b3-468e-9aee-14926c7c3722}</x14:id>
        </ext>
      </extLst>
    </cfRule>
  </conditionalFormatting>
  <conditionalFormatting sqref="O24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{00d9ef0d-5a5b-4363-89af-7a31f156c336}</x14:id>
        </ext>
      </extLst>
    </cfRule>
  </conditionalFormatting>
  <conditionalFormatting sqref="C27:O2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{a4d52a77-a2af-46f2-a174-e946eb44485d}</x14:id>
        </ext>
      </extLst>
    </cfRule>
    <cfRule type="cellIs" dxfId="1" priority="2" operator="greaterThan">
      <formula>0</formula>
    </cfRule>
    <cfRule type="cellIs" dxfId="2" priority="1" operator="lessThan">
      <formula>0</formula>
    </cfRule>
  </conditionalFormatting>
  <conditionalFormatting sqref="B28">
    <cfRule type="cellIs" dxfId="1" priority="23" operator="greaterThan">
      <formula>0</formula>
    </cfRule>
    <cfRule type="cellIs" dxfId="2" priority="22" operator="lessThan">
      <formula>0</formula>
    </cfRule>
  </conditionalFormatting>
  <conditionalFormatting sqref="B26:B27">
    <cfRule type="cellIs" dxfId="2" priority="25" operator="greaterThan">
      <formula>0.68</formula>
    </cfRule>
    <cfRule type="cellIs" dxfId="1" priority="24" operator="lessThan">
      <formula>0.68</formula>
    </cfRule>
  </conditionalFormatting>
  <conditionalFormatting sqref="C26:O26 C28:O28 D27:N27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{a3baeceb-27ba-47da-8b9c-540ef3c1e802}</x14:id>
        </ext>
      </extLst>
    </cfRule>
  </conditionalFormatting>
  <conditionalFormatting sqref="C26:O26 C28:O28 D27:O27">
    <cfRule type="cellIs" dxfId="2" priority="4" operator="greaterThan">
      <formula>0.68</formula>
    </cfRule>
    <cfRule type="cellIs" dxfId="1" priority="3" operator="lessThan">
      <formula>0.68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8b022-87a3-4a5d-bc70-4659d5e8bd5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C8:N8</xm:sqref>
        </x14:conditionalFormatting>
        <x14:conditionalFormatting xmlns:xm="http://schemas.microsoft.com/office/excel/2006/main">
          <x14:cfRule type="dataBar" id="{bf7d8faf-f3cb-42f4-806e-da3bbf17d4c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O8</xm:sqref>
        </x14:conditionalFormatting>
        <x14:conditionalFormatting xmlns:xm="http://schemas.microsoft.com/office/excel/2006/main">
          <x14:cfRule type="dataBar" id="{a08e48fd-fd23-4496-933e-6662e9f1ec2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C12:N12</xm:sqref>
        </x14:conditionalFormatting>
        <x14:conditionalFormatting xmlns:xm="http://schemas.microsoft.com/office/excel/2006/main">
          <x14:cfRule type="dataBar" id="{992bfb5d-50b4-469c-86c2-084f919fc0c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O12</xm:sqref>
        </x14:conditionalFormatting>
        <x14:conditionalFormatting xmlns:xm="http://schemas.microsoft.com/office/excel/2006/main">
          <x14:cfRule type="dataBar" id="{1c2db4e4-e779-4439-ab06-a66bc23fa1d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C16:N16</xm:sqref>
        </x14:conditionalFormatting>
        <x14:conditionalFormatting xmlns:xm="http://schemas.microsoft.com/office/excel/2006/main">
          <x14:cfRule type="dataBar" id="{1171df8f-04df-494d-a3f6-4a96c47fe26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O16</xm:sqref>
        </x14:conditionalFormatting>
        <x14:conditionalFormatting xmlns:xm="http://schemas.microsoft.com/office/excel/2006/main">
          <x14:cfRule type="dataBar" id="{fac421bf-f16c-4289-a45a-6ed6921883e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B20:N20</xm:sqref>
        </x14:conditionalFormatting>
        <x14:conditionalFormatting xmlns:xm="http://schemas.microsoft.com/office/excel/2006/main">
          <x14:cfRule type="dataBar" id="{65e0ea9f-d8e4-430e-9b23-a77ee4c94f0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O20</xm:sqref>
        </x14:conditionalFormatting>
        <x14:conditionalFormatting xmlns:xm="http://schemas.microsoft.com/office/excel/2006/main">
          <x14:cfRule type="dataBar" id="{2fcd3372-e3b3-468e-9aee-14926c7c372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C24:N24</xm:sqref>
        </x14:conditionalFormatting>
        <x14:conditionalFormatting xmlns:xm="http://schemas.microsoft.com/office/excel/2006/main">
          <x14:cfRule type="dataBar" id="{00d9ef0d-5a5b-4363-89af-7a31f156c33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O24</xm:sqref>
        </x14:conditionalFormatting>
        <x14:conditionalFormatting xmlns:xm="http://schemas.microsoft.com/office/excel/2006/main">
          <x14:cfRule type="dataBar" id="{a4d52a77-a2af-46f2-a174-e946eb44485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C27:O27</xm:sqref>
        </x14:conditionalFormatting>
        <x14:conditionalFormatting xmlns:xm="http://schemas.microsoft.com/office/excel/2006/main">
          <x14:cfRule type="dataBar" id="{a3baeceb-27ba-47da-8b9c-540ef3c1e80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C26:O26 C28:O28 D27:N27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workbookViewId="0">
      <selection activeCell="J38" sqref="J38"/>
    </sheetView>
  </sheetViews>
  <sheetFormatPr defaultColWidth="8.88888888888889" defaultRowHeight="14.4"/>
  <cols>
    <col min="1" max="1" width="14.1111111111111" style="1" customWidth="1"/>
    <col min="2" max="2" width="20.8888888888889" style="1" customWidth="1"/>
    <col min="3" max="4" width="14.1111111111111" style="1" customWidth="1"/>
    <col min="5" max="8" width="15.5555555555556" style="1" customWidth="1"/>
    <col min="9" max="9" width="13.7777777777778" style="1" customWidth="1"/>
    <col min="10" max="13" width="15.1111111111111" style="1" customWidth="1"/>
    <col min="14" max="14" width="13.7777777777778" style="1" customWidth="1"/>
    <col min="15" max="15" width="15.5555555555556" style="1" customWidth="1"/>
  </cols>
  <sheetData>
    <row r="1" ht="15.6" customHeight="1" spans="1:15">
      <c r="A1" s="2" t="str">
        <f>'[2]2026年度男装数据汇总分析--俄罗斯'!A1</f>
        <v>2026年度WB男装进度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</row>
    <row r="2" ht="15.6" customHeight="1" spans="1:15">
      <c r="A2" s="2" t="str">
        <f>'[2]2026年度男装数据汇总分析--俄罗斯'!A2</f>
        <v>项目</v>
      </c>
      <c r="B2" s="2" t="str">
        <f>'[2]2026年度男装数据汇总分析--俄罗斯'!B2</f>
        <v>月度</v>
      </c>
      <c r="C2" s="4" t="str">
        <f>'[2]2026年度男装数据汇总分析--俄罗斯'!C2</f>
        <v>2月</v>
      </c>
      <c r="D2" s="4" t="str">
        <f>'[2]2026年度男装数据汇总分析--俄罗斯'!D2</f>
        <v>3月</v>
      </c>
      <c r="E2" s="4" t="str">
        <f>'[2]2026年度男装数据汇总分析--俄罗斯'!E2</f>
        <v>4月</v>
      </c>
      <c r="F2" s="5" t="str">
        <f>'[2]2026年度男装数据汇总分析--俄罗斯'!F2</f>
        <v>5月</v>
      </c>
      <c r="G2" s="5" t="str">
        <f>'[2]2026年度男装数据汇总分析--俄罗斯'!G2</f>
        <v>6月</v>
      </c>
      <c r="H2" s="5" t="str">
        <f>'[2]2026年度男装数据汇总分析--俄罗斯'!H2</f>
        <v>7月</v>
      </c>
      <c r="I2" s="25" t="str">
        <f>'[2]2026年度男装数据汇总分析--俄罗斯'!I2</f>
        <v>8月</v>
      </c>
      <c r="J2" s="25" t="str">
        <f>'[2]2026年度男装数据汇总分析--俄罗斯'!J2</f>
        <v>9月</v>
      </c>
      <c r="K2" s="25" t="str">
        <f>'[2]2026年度男装数据汇总分析--俄罗斯'!K2</f>
        <v>10月</v>
      </c>
      <c r="L2" s="26" t="str">
        <f>'[2]2026年度男装数据汇总分析--俄罗斯'!L2</f>
        <v>11月</v>
      </c>
      <c r="M2" s="26" t="str">
        <f>'[2]2026年度男装数据汇总分析--俄罗斯'!M2</f>
        <v>12月</v>
      </c>
      <c r="N2" s="26" t="str">
        <f>'[2]2026年度男装数据汇总分析--俄罗斯'!N2</f>
        <v>1月</v>
      </c>
      <c r="O2" s="2" t="str">
        <f>'[2]2026年度男装数据汇总分析--俄罗斯'!O2</f>
        <v>汇总</v>
      </c>
    </row>
    <row r="3" ht="15.6" customHeight="1" spans="1:15">
      <c r="A3" s="6"/>
      <c r="B3" s="2" t="str">
        <f>'[2]2026年度男装数据汇总分析--俄罗斯'!B3</f>
        <v>季度</v>
      </c>
      <c r="C3" s="4" t="str">
        <f>'[2]2026年度男装数据汇总分析--俄罗斯'!C3</f>
        <v>Q1</v>
      </c>
      <c r="D3" s="3"/>
      <c r="E3" s="7"/>
      <c r="F3" s="5" t="str">
        <f>'[2]2026年度男装数据汇总分析--俄罗斯'!F3</f>
        <v>Q2</v>
      </c>
      <c r="G3" s="3"/>
      <c r="H3" s="7"/>
      <c r="I3" s="25" t="str">
        <f>'[2]2026年度男装数据汇总分析--俄罗斯'!I3</f>
        <v>Q3</v>
      </c>
      <c r="J3" s="3"/>
      <c r="K3" s="7"/>
      <c r="L3" s="26" t="str">
        <f>'[2]2026年度男装数据汇总分析--俄罗斯'!L3</f>
        <v>Q4</v>
      </c>
      <c r="M3" s="3"/>
      <c r="N3" s="7"/>
      <c r="O3" s="6"/>
    </row>
    <row r="4" ht="15.6" customHeight="1" spans="1:15">
      <c r="A4" s="6"/>
      <c r="B4" s="2" t="str">
        <f>'[2]2026年度男装数据汇总分析--俄罗斯'!B4</f>
        <v>季度财报</v>
      </c>
      <c r="C4" s="8">
        <f>(C7+D7+E7)</f>
        <v>217831.58</v>
      </c>
      <c r="D4" s="3"/>
      <c r="E4" s="7"/>
      <c r="F4" s="5">
        <f>(F7+G7+H7)</f>
        <v>582648.69</v>
      </c>
      <c r="G4" s="3"/>
      <c r="H4" s="7"/>
      <c r="I4" s="25">
        <f>(I7+J7+K7)</f>
        <v>0</v>
      </c>
      <c r="J4" s="3"/>
      <c r="K4" s="7"/>
      <c r="L4" s="26">
        <f>(L7+M7+N7)</f>
        <v>0</v>
      </c>
      <c r="M4" s="3"/>
      <c r="N4" s="7"/>
      <c r="O4" s="6"/>
    </row>
    <row r="5" ht="15.6" customHeight="1" spans="1:15">
      <c r="A5" s="9"/>
      <c r="B5" s="2" t="str">
        <f>'[2]2026年度男装数据汇总分析--俄罗斯'!B5</f>
        <v>季度财报进度</v>
      </c>
      <c r="C5" s="11">
        <f>(C7+D7+E7)/(C6+D6+E6)</f>
        <v>0.654659279349753</v>
      </c>
      <c r="D5" s="3"/>
      <c r="E5" s="7"/>
      <c r="F5" s="12">
        <f>(F7+G7+H7)/(F6+G6+H6)</f>
        <v>1.01329874242082</v>
      </c>
      <c r="G5" s="3"/>
      <c r="H5" s="7"/>
      <c r="I5" s="27">
        <f>(I7+J7+K7)/(I6+J6+K6)</f>
        <v>0</v>
      </c>
      <c r="J5" s="3"/>
      <c r="K5" s="7"/>
      <c r="L5" s="28">
        <f>(L7+M7+N7)/(L6+M6+N6)</f>
        <v>0</v>
      </c>
      <c r="M5" s="3"/>
      <c r="N5" s="7"/>
      <c r="O5" s="9"/>
    </row>
    <row r="6" ht="31.2" customHeight="1" spans="1:15">
      <c r="A6" s="2" t="str">
        <f>'[2]2026年度男装数据汇总分析--俄罗斯'!A6</f>
        <v>目标完成情况</v>
      </c>
      <c r="B6" s="13" t="str">
        <f>'[2]2026年度男装数据汇总分析--俄罗斯'!B6</f>
        <v>月度目标
利润（人民币）</v>
      </c>
      <c r="C6" s="14">
        <f>'[2]2026目标拆解--何欢洁'!B4</f>
        <v>116176.256</v>
      </c>
      <c r="D6" s="14">
        <f>'[2]2026目标拆解--何欢洁'!C4</f>
        <v>115071.008</v>
      </c>
      <c r="E6" s="14">
        <f>'[2]2026目标拆解--何欢洁'!D4</f>
        <v>101493.12</v>
      </c>
      <c r="F6" s="14">
        <f>'[2]2026目标拆解--何欢洁'!E4</f>
        <v>138328.448</v>
      </c>
      <c r="G6" s="14">
        <f>'[2]2026目标拆解--何欢洁'!F4</f>
        <v>203112</v>
      </c>
      <c r="H6" s="14">
        <f>'[2]2026目标拆解--何欢洁'!G4</f>
        <v>233561.44</v>
      </c>
      <c r="I6" s="14">
        <f>'[2]2026目标拆解--何欢洁'!H4</f>
        <v>280919.52</v>
      </c>
      <c r="J6" s="14">
        <f>'[2]2026目标拆解--何欢洁'!I4</f>
        <v>360393.6</v>
      </c>
      <c r="K6" s="14">
        <f>'[2]2026目标拆解--何欢洁'!J4</f>
        <v>463893.92</v>
      </c>
      <c r="L6" s="14">
        <f>'[2]2026目标拆解--何欢洁'!K4</f>
        <v>448929.6</v>
      </c>
      <c r="M6" s="14">
        <f>'[2]2026目标拆解--何欢洁'!L4</f>
        <v>369177.76</v>
      </c>
      <c r="N6" s="14">
        <f>'[2]2026目标拆解--何欢洁'!M4</f>
        <v>233561.44</v>
      </c>
      <c r="O6" s="29">
        <f>SUM(C6:N6)</f>
        <v>3064618.112</v>
      </c>
    </row>
    <row r="7" ht="15.6" customHeight="1" spans="1:15">
      <c r="A7" s="6"/>
      <c r="B7" s="15" t="str">
        <f>'[2]2026年度男装数据汇总分析--俄罗斯'!B7</f>
        <v>实际利润（人民币）</v>
      </c>
      <c r="C7" s="16">
        <v>22851.21</v>
      </c>
      <c r="D7" s="16">
        <v>93799.05</v>
      </c>
      <c r="E7" s="16">
        <v>101181.32</v>
      </c>
      <c r="F7" s="16">
        <v>182526.59</v>
      </c>
      <c r="G7" s="16">
        <v>257990.89</v>
      </c>
      <c r="H7" s="16">
        <v>142131.21</v>
      </c>
      <c r="I7" s="16"/>
      <c r="J7" s="16"/>
      <c r="K7" s="16"/>
      <c r="L7" s="16"/>
      <c r="M7" s="16"/>
      <c r="N7" s="16"/>
      <c r="O7" s="16">
        <f>SUM(C7:N7)</f>
        <v>800480.27</v>
      </c>
    </row>
    <row r="8" ht="15.6" customHeight="1" spans="1:15">
      <c r="A8" s="6"/>
      <c r="B8" s="2" t="str">
        <f>'[2]2026年度男装数据汇总分析--俄罗斯'!B8</f>
        <v>目标完成进度</v>
      </c>
      <c r="C8" s="10">
        <f t="shared" ref="C8:N8" si="0">IFERROR(C7/C6,0)</f>
        <v>0.196694322805514</v>
      </c>
      <c r="D8" s="10">
        <f t="shared" si="0"/>
        <v>0.815140595622487</v>
      </c>
      <c r="E8" s="10">
        <f t="shared" si="0"/>
        <v>0.996927870578814</v>
      </c>
      <c r="F8" s="10">
        <f t="shared" si="0"/>
        <v>1.31951592488047</v>
      </c>
      <c r="G8" s="10">
        <f t="shared" si="0"/>
        <v>1.27019028910158</v>
      </c>
      <c r="H8" s="10">
        <f t="shared" si="0"/>
        <v>0.608538849563524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7">
        <f>O7/O6</f>
        <v>0.261200658857165</v>
      </c>
    </row>
    <row r="9" ht="15.6" customHeight="1" spans="1:15">
      <c r="A9" s="6"/>
      <c r="B9" s="18">
        <f>'[2]2026年度男装数据汇总分析--俄罗斯'!B9</f>
        <v>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0">
        <f>'[1]特别隐藏版（勿动、勿看）'!O9</f>
        <v>0</v>
      </c>
    </row>
    <row r="10" ht="15.6" customHeight="1" spans="1:15">
      <c r="A10" s="6"/>
      <c r="B10" s="2" t="str">
        <f>'[2]2026年度男装数据汇总分析--俄罗斯'!B10</f>
        <v>销量目标</v>
      </c>
      <c r="C10" s="2">
        <f>'[2]2026目标拆解--何欢洁'!B5</f>
        <v>7840</v>
      </c>
      <c r="D10" s="2">
        <f>'[2]2026目标拆解--何欢洁'!C5</f>
        <v>8060</v>
      </c>
      <c r="E10" s="2">
        <f>'[2]2026目标拆解--何欢洁'!D5</f>
        <v>7200</v>
      </c>
      <c r="F10" s="2">
        <f>'[2]2026目标拆解--何欢洁'!E5</f>
        <v>10230</v>
      </c>
      <c r="G10" s="2">
        <f>'[2]2026目标拆解--何欢洁'!F5</f>
        <v>13500</v>
      </c>
      <c r="H10" s="2">
        <f>'[2]2026目标拆解--何欢洁'!G5</f>
        <v>15500</v>
      </c>
      <c r="I10" s="2">
        <f>'[2]2026目标拆解--何欢洁'!H5</f>
        <v>18600</v>
      </c>
      <c r="J10" s="2">
        <f>'[2]2026目标拆解--何欢洁'!I5</f>
        <v>24000</v>
      </c>
      <c r="K10" s="2">
        <f>'[2]2026目标拆解--何欢洁'!J5</f>
        <v>31000</v>
      </c>
      <c r="L10" s="2">
        <f>'[2]2026目标拆解--何欢洁'!K5</f>
        <v>30000</v>
      </c>
      <c r="M10" s="2">
        <f>'[2]2026目标拆解--何欢洁'!L5</f>
        <v>24800</v>
      </c>
      <c r="N10" s="2">
        <f>'[2]2026目标拆解--何欢洁'!M5</f>
        <v>15500</v>
      </c>
      <c r="O10" s="31">
        <f>SUM(C10:N10)</f>
        <v>206230</v>
      </c>
    </row>
    <row r="11" ht="15.6" customHeight="1" spans="1:15">
      <c r="A11" s="6"/>
      <c r="B11" s="15" t="str">
        <f>'[2]2026年度男装数据汇总分析--俄罗斯'!B11</f>
        <v>销量完成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>
        <f>SUM(C11:N11)</f>
        <v>0</v>
      </c>
    </row>
    <row r="12" ht="15.6" customHeight="1" spans="1:15">
      <c r="A12" s="6"/>
      <c r="B12" s="2" t="str">
        <f>'[2]2026年度男装数据汇总分析--俄罗斯'!B12</f>
        <v>销量完成进度</v>
      </c>
      <c r="C12" s="10">
        <f t="shared" ref="C12:N12" si="1">IFERROR(C11/C10,0)</f>
        <v>0</v>
      </c>
      <c r="D12" s="10">
        <f t="shared" si="1"/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7">
        <f>O11/O10</f>
        <v>0</v>
      </c>
    </row>
    <row r="13" ht="15.6" customHeight="1" spans="1:15">
      <c r="A13" s="6"/>
      <c r="B13" s="18">
        <f>'[2]2026年度男装数据汇总分析--俄罗斯'!B13</f>
        <v>0</v>
      </c>
      <c r="C13" s="19">
        <f>'[2]2026年度男装数据汇总分析--俄罗斯'!C13</f>
        <v>0</v>
      </c>
      <c r="D13" s="19">
        <f>'[2]2026年度男装数据汇总分析--俄罗斯'!D13</f>
        <v>0</v>
      </c>
      <c r="E13" s="19">
        <f>'[2]2026年度男装数据汇总分析--俄罗斯'!E13</f>
        <v>0</v>
      </c>
      <c r="F13" s="19">
        <f>'[2]2026年度男装数据汇总分析--俄罗斯'!F13</f>
        <v>0</v>
      </c>
      <c r="G13" s="19">
        <f>'[2]2026年度男装数据汇总分析--俄罗斯'!G13</f>
        <v>0</v>
      </c>
      <c r="H13" s="19">
        <f>'[2]2026年度男装数据汇总分析--俄罗斯'!H13</f>
        <v>0</v>
      </c>
      <c r="I13" s="19">
        <f>'[2]2026年度男装数据汇总分析--俄罗斯'!I13</f>
        <v>0</v>
      </c>
      <c r="J13" s="19">
        <f>'[2]2026年度男装数据汇总分析--俄罗斯'!J13</f>
        <v>0</v>
      </c>
      <c r="K13" s="19">
        <f>'[2]2026年度男装数据汇总分析--俄罗斯'!K13</f>
        <v>0</v>
      </c>
      <c r="L13" s="19">
        <f>'[2]2026年度男装数据汇总分析--俄罗斯'!L13</f>
        <v>0</v>
      </c>
      <c r="M13" s="19">
        <f>'[2]2026年度男装数据汇总分析--俄罗斯'!M13</f>
        <v>0</v>
      </c>
      <c r="N13" s="19">
        <f>'[2]2026年度男装数据汇总分析--俄罗斯'!N13</f>
        <v>0</v>
      </c>
      <c r="O13" s="30">
        <f>'[1]特别隐藏版（勿动、勿看）'!O13</f>
        <v>0</v>
      </c>
    </row>
    <row r="14" ht="15.6" customHeight="1" spans="1:15">
      <c r="A14" s="6"/>
      <c r="B14" s="2" t="str">
        <f>'[2]2026年度男装数据汇总分析--俄罗斯'!B14</f>
        <v>实销目标</v>
      </c>
      <c r="C14" s="20">
        <f>'[2]2026目标拆解--何欢洁'!B6</f>
        <v>2430.4</v>
      </c>
      <c r="D14" s="20">
        <f>'[2]2026目标拆解--何欢洁'!C6</f>
        <v>2498.6</v>
      </c>
      <c r="E14" s="20">
        <f>'[2]2026目标拆解--何欢洁'!D6</f>
        <v>2232</v>
      </c>
      <c r="F14" s="20">
        <f>'[2]2026目标拆解--何欢洁'!E6</f>
        <v>3171.3</v>
      </c>
      <c r="G14" s="20">
        <f>'[2]2026目标拆解--何欢洁'!F6</f>
        <v>4185</v>
      </c>
      <c r="H14" s="20">
        <f>'[2]2026目标拆解--何欢洁'!G6</f>
        <v>4805</v>
      </c>
      <c r="I14" s="20">
        <f>'[2]2026目标拆解--何欢洁'!H6</f>
        <v>5766</v>
      </c>
      <c r="J14" s="20">
        <f>'[2]2026目标拆解--何欢洁'!I6</f>
        <v>7440</v>
      </c>
      <c r="K14" s="20">
        <f>'[2]2026目标拆解--何欢洁'!J6</f>
        <v>9610</v>
      </c>
      <c r="L14" s="20">
        <f>'[2]2026目标拆解--何欢洁'!K6</f>
        <v>9300</v>
      </c>
      <c r="M14" s="20">
        <f>'[2]2026目标拆解--何欢洁'!L6</f>
        <v>7688</v>
      </c>
      <c r="N14" s="20">
        <f>'[2]2026目标拆解--何欢洁'!M6</f>
        <v>4805</v>
      </c>
      <c r="O14" s="32">
        <f>SUM(C14:N14)</f>
        <v>63931.3</v>
      </c>
    </row>
    <row r="15" ht="15.6" customHeight="1" spans="1:15">
      <c r="A15" s="6"/>
      <c r="B15" s="15" t="str">
        <f>'[2]2026年度男装数据汇总分析--俄罗斯'!B15</f>
        <v>实销完成</v>
      </c>
      <c r="C15" s="15">
        <v>2531</v>
      </c>
      <c r="D15" s="15">
        <v>3575</v>
      </c>
      <c r="E15" s="15">
        <v>2852</v>
      </c>
      <c r="F15" s="15">
        <v>3038</v>
      </c>
      <c r="G15" s="15">
        <v>3530</v>
      </c>
      <c r="H15" s="15">
        <v>2077</v>
      </c>
      <c r="I15" s="15"/>
      <c r="J15" s="15"/>
      <c r="K15" s="15"/>
      <c r="L15" s="15"/>
      <c r="M15" s="15"/>
      <c r="N15" s="15"/>
      <c r="O15" s="15">
        <f>SUM(C15:N15)</f>
        <v>17603</v>
      </c>
    </row>
    <row r="16" ht="15.6" customHeight="1" spans="1:15">
      <c r="A16" s="6"/>
      <c r="B16" s="2" t="str">
        <f>'[2]2026年度男装数据汇总分析--俄罗斯'!B16</f>
        <v>实销完成进度</v>
      </c>
      <c r="C16" s="10">
        <f t="shared" ref="C16:N16" si="2">IFERROR(C15/C14,0)</f>
        <v>1.04139236339697</v>
      </c>
      <c r="D16" s="10">
        <f t="shared" si="2"/>
        <v>1.43080124869927</v>
      </c>
      <c r="E16" s="10">
        <f t="shared" si="2"/>
        <v>1.27777777777778</v>
      </c>
      <c r="F16" s="10">
        <f t="shared" si="2"/>
        <v>0.957966764418377</v>
      </c>
      <c r="G16" s="10">
        <f t="shared" si="2"/>
        <v>0.843488649940263</v>
      </c>
      <c r="H16" s="10">
        <f t="shared" si="2"/>
        <v>0.432258064516129</v>
      </c>
      <c r="I16" s="10">
        <f t="shared" si="2"/>
        <v>0</v>
      </c>
      <c r="J16" s="10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7">
        <f>O15/O14</f>
        <v>0.275342437898181</v>
      </c>
    </row>
    <row r="17" ht="15.6" customHeight="1" spans="1:15">
      <c r="A17" s="6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30">
        <f>'[1]特别隐藏版（勿动、勿看）'!O17</f>
        <v>0</v>
      </c>
    </row>
    <row r="18" ht="15.6" customHeight="1" spans="1:15">
      <c r="A18" s="6"/>
      <c r="B18" s="21" t="str">
        <f>'[2]2026年度男装数据汇总分析--俄罗斯'!B18</f>
        <v>GMV目标</v>
      </c>
      <c r="C18" s="21">
        <f>'[2]2026目标拆解--何欢洁'!B8</f>
        <v>32732000</v>
      </c>
      <c r="D18" s="21">
        <f>'[2]2026目标拆解--何欢洁'!C8</f>
        <v>34255000</v>
      </c>
      <c r="E18" s="21">
        <f>'[2]2026目标拆解--何欢洁'!D8</f>
        <v>30780000</v>
      </c>
      <c r="F18" s="21">
        <f>'[2]2026目标拆解--何欢洁'!E8</f>
        <v>44547000</v>
      </c>
      <c r="G18" s="21">
        <f>'[2]2026目标拆解--何欢洁'!F8</f>
        <v>58500000</v>
      </c>
      <c r="H18" s="21">
        <f>'[2]2026目标拆解--何欢洁'!G8</f>
        <v>67270000</v>
      </c>
      <c r="I18" s="21">
        <f>'[2]2026目标拆解--何欢洁'!H8</f>
        <v>80910000</v>
      </c>
      <c r="J18" s="21">
        <f>'[2]2026目标拆解--何欢洁'!I8</f>
        <v>103800000</v>
      </c>
      <c r="K18" s="21">
        <f>'[2]2026目标拆解--何欢洁'!J8</f>
        <v>133610000</v>
      </c>
      <c r="L18" s="21">
        <f>'[2]2026目标拆解--何欢洁'!K8</f>
        <v>129300000</v>
      </c>
      <c r="M18" s="21">
        <f>'[2]2026目标拆解--何欢洁'!L8</f>
        <v>106330000</v>
      </c>
      <c r="N18" s="21">
        <f>'[2]2026目标拆解--何欢洁'!M8</f>
        <v>67270000</v>
      </c>
      <c r="O18" s="33">
        <f>SUM(C18:N18)</f>
        <v>889304000</v>
      </c>
    </row>
    <row r="19" ht="15.6" customHeight="1" spans="1:15">
      <c r="A19" s="6"/>
      <c r="B19" s="22" t="str">
        <f>'[2]2026年度男装数据汇总分析--俄罗斯'!B19</f>
        <v>GMV完成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>
        <f>SUM(C19:N19)</f>
        <v>0</v>
      </c>
    </row>
    <row r="20" ht="15.6" customHeight="1" spans="1:15">
      <c r="A20" s="6"/>
      <c r="B20" s="17" t="str">
        <f>'[2]2026年度男装数据汇总分析--俄罗斯'!B20</f>
        <v>GMV完成进度</v>
      </c>
      <c r="C20" s="17">
        <f t="shared" ref="C20:N20" si="3">IFERROR(C19/C18,0)</f>
        <v>0</v>
      </c>
      <c r="D20" s="17">
        <f t="shared" si="3"/>
        <v>0</v>
      </c>
      <c r="E20" s="17">
        <f t="shared" si="3"/>
        <v>0</v>
      </c>
      <c r="F20" s="17">
        <f t="shared" si="3"/>
        <v>0</v>
      </c>
      <c r="G20" s="17">
        <f t="shared" si="3"/>
        <v>0</v>
      </c>
      <c r="H20" s="17">
        <f t="shared" si="3"/>
        <v>0</v>
      </c>
      <c r="I20" s="17">
        <f t="shared" si="3"/>
        <v>0</v>
      </c>
      <c r="J20" s="17">
        <f t="shared" si="3"/>
        <v>0</v>
      </c>
      <c r="K20" s="17">
        <f t="shared" si="3"/>
        <v>0</v>
      </c>
      <c r="L20" s="17">
        <f t="shared" si="3"/>
        <v>0</v>
      </c>
      <c r="M20" s="17">
        <f t="shared" si="3"/>
        <v>0</v>
      </c>
      <c r="N20" s="17">
        <f t="shared" si="3"/>
        <v>0</v>
      </c>
      <c r="O20" s="17">
        <f>O19/O18</f>
        <v>0</v>
      </c>
    </row>
    <row r="21" ht="15.6" customHeight="1" spans="1:15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0">
        <f>'[1]特别隐藏版（勿动、勿看）'!O21</f>
        <v>0</v>
      </c>
    </row>
    <row r="22" ht="15.6" customHeight="1" spans="1:15">
      <c r="A22" s="6"/>
      <c r="B22" s="2" t="str">
        <f>'[2]2026年度男装数据汇总分析--俄罗斯'!B22</f>
        <v>GSV目标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9">
        <f>SUM(C22:N22)</f>
        <v>0</v>
      </c>
    </row>
    <row r="23" ht="15.6" customHeight="1" spans="1:15">
      <c r="A23" s="6"/>
      <c r="B23" s="15" t="str">
        <f>'[2]2026年度男装数据汇总分析--俄罗斯'!B23</f>
        <v>GSV完成</v>
      </c>
      <c r="C23" s="24">
        <v>808046.31</v>
      </c>
      <c r="D23" s="24">
        <v>1277649.27</v>
      </c>
      <c r="E23" s="24">
        <v>1040679.73</v>
      </c>
      <c r="F23" s="24">
        <v>1171647.59</v>
      </c>
      <c r="G23" s="24">
        <v>1393579.73</v>
      </c>
      <c r="H23" s="24">
        <v>773147.28</v>
      </c>
      <c r="I23" s="24"/>
      <c r="J23" s="24"/>
      <c r="K23" s="24"/>
      <c r="L23" s="24"/>
      <c r="M23" s="24"/>
      <c r="N23" s="24"/>
      <c r="O23" s="16">
        <f>SUM(C23:N23)</f>
        <v>6464749.91</v>
      </c>
    </row>
    <row r="24" ht="15.6" customHeight="1" spans="1:15">
      <c r="A24" s="6"/>
      <c r="B24" s="2" t="str">
        <f>'[2]2026年度男装数据汇总分析--俄罗斯'!B24</f>
        <v>GSV完成进度</v>
      </c>
      <c r="C24" s="10">
        <f t="shared" ref="C24:N24" si="4">IFERROR(C23/C22,0)</f>
        <v>0</v>
      </c>
      <c r="D24" s="10">
        <f t="shared" si="4"/>
        <v>0</v>
      </c>
      <c r="E24" s="10">
        <f t="shared" si="4"/>
        <v>0</v>
      </c>
      <c r="F24" s="10">
        <f t="shared" si="4"/>
        <v>0</v>
      </c>
      <c r="G24" s="10">
        <f t="shared" si="4"/>
        <v>0</v>
      </c>
      <c r="H24" s="10">
        <f t="shared" si="4"/>
        <v>0</v>
      </c>
      <c r="I24" s="10">
        <f t="shared" si="4"/>
        <v>0</v>
      </c>
      <c r="J24" s="10">
        <f t="shared" si="4"/>
        <v>0</v>
      </c>
      <c r="K24" s="10">
        <f t="shared" si="4"/>
        <v>0</v>
      </c>
      <c r="L24" s="10">
        <f t="shared" si="4"/>
        <v>0</v>
      </c>
      <c r="M24" s="10">
        <f t="shared" si="4"/>
        <v>0</v>
      </c>
      <c r="N24" s="10">
        <f t="shared" si="4"/>
        <v>0</v>
      </c>
      <c r="O24" s="17" t="e">
        <f>O23/O22</f>
        <v>#DIV/0!</v>
      </c>
    </row>
    <row r="25" ht="15.6" customHeight="1" spans="1:15">
      <c r="A25" s="6"/>
      <c r="B25" s="18">
        <f>'[2]2026年度男装数据汇总分析--俄罗斯'!B25</f>
        <v>0</v>
      </c>
      <c r="C25" s="19">
        <f>'[2]2026年度男装数据汇总分析--俄罗斯'!C25</f>
        <v>0</v>
      </c>
      <c r="D25" s="19">
        <f>'[2]2026年度男装数据汇总分析--俄罗斯'!D25</f>
        <v>0</v>
      </c>
      <c r="E25" s="19">
        <f>'[2]2026年度男装数据汇总分析--俄罗斯'!E25</f>
        <v>0</v>
      </c>
      <c r="F25" s="19">
        <f>'[2]2026年度男装数据汇总分析--俄罗斯'!F25</f>
        <v>0</v>
      </c>
      <c r="G25" s="19">
        <f>'[2]2026年度男装数据汇总分析--俄罗斯'!G25</f>
        <v>0</v>
      </c>
      <c r="H25" s="19">
        <f>'[2]2026年度男装数据汇总分析--俄罗斯'!H25</f>
        <v>0</v>
      </c>
      <c r="I25" s="19">
        <f>'[2]2026年度男装数据汇总分析--俄罗斯'!I25</f>
        <v>0</v>
      </c>
      <c r="J25" s="19">
        <f>'[2]2026年度男装数据汇总分析--俄罗斯'!J25</f>
        <v>0</v>
      </c>
      <c r="K25" s="19">
        <f>'[2]2026年度男装数据汇总分析--俄罗斯'!K25</f>
        <v>0</v>
      </c>
      <c r="L25" s="19">
        <f>'[2]2026年度男装数据汇总分析--俄罗斯'!L25</f>
        <v>0</v>
      </c>
      <c r="M25" s="19">
        <f>'[2]2026年度男装数据汇总分析--俄罗斯'!M25</f>
        <v>0</v>
      </c>
      <c r="N25" s="19">
        <f>'[2]2026年度男装数据汇总分析--俄罗斯'!N25</f>
        <v>0</v>
      </c>
      <c r="O25" s="30">
        <f>'[1]特别隐藏版（勿动、勿看）'!O25</f>
        <v>0</v>
      </c>
    </row>
    <row r="26" ht="15.6" customHeight="1" spans="1:15">
      <c r="A26" s="6"/>
      <c r="B26" s="2" t="str">
        <f>'[2]2026年度男装数据汇总分析--俄罗斯'!B26</f>
        <v>退款率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6" customHeight="1" spans="1:15">
      <c r="A27" s="6"/>
      <c r="B27" s="2" t="str">
        <f>'[2]2026年度男装数据汇总分析--俄罗斯'!B27</f>
        <v>退货率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6" customHeight="1" spans="1:15">
      <c r="A28" s="6"/>
      <c r="B28" s="2" t="str">
        <f>'[2]2026年度男装数据汇总分析--俄罗斯'!B28</f>
        <v>利润率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ht="15.6" customHeight="1" spans="1:15">
      <c r="A29" s="9"/>
      <c r="B29" s="18">
        <f>'[2]2026年度男装数据汇总分析--俄罗斯'!B29</f>
        <v>0</v>
      </c>
      <c r="C29" s="19">
        <f>'[2]2026年度男装数据汇总分析--俄罗斯'!C29</f>
        <v>0</v>
      </c>
      <c r="D29" s="19">
        <f>'[2]2026年度男装数据汇总分析--俄罗斯'!D29</f>
        <v>0</v>
      </c>
      <c r="E29" s="19">
        <f>'[2]2026年度男装数据汇总分析--俄罗斯'!E29</f>
        <v>0</v>
      </c>
      <c r="F29" s="19">
        <f>'[2]2026年度男装数据汇总分析--俄罗斯'!F29</f>
        <v>0</v>
      </c>
      <c r="G29" s="19">
        <f>'[2]2026年度男装数据汇总分析--俄罗斯'!G29</f>
        <v>0</v>
      </c>
      <c r="H29" s="19">
        <f>'[2]2026年度男装数据汇总分析--俄罗斯'!H29</f>
        <v>0</v>
      </c>
      <c r="I29" s="19">
        <f>'[2]2026年度男装数据汇总分析--俄罗斯'!I29</f>
        <v>0</v>
      </c>
      <c r="J29" s="19">
        <f>'[2]2026年度男装数据汇总分析--俄罗斯'!J29</f>
        <v>0</v>
      </c>
      <c r="K29" s="19">
        <f>'[2]2026年度男装数据汇总分析--俄罗斯'!K29</f>
        <v>0</v>
      </c>
      <c r="L29" s="19">
        <f>'[2]2026年度男装数据汇总分析--俄罗斯'!L29</f>
        <v>0</v>
      </c>
      <c r="M29" s="19">
        <f>'[2]2026年度男装数据汇总分析--俄罗斯'!M29</f>
        <v>0</v>
      </c>
      <c r="N29" s="19">
        <f>'[2]2026年度男装数据汇总分析--俄罗斯'!N29</f>
        <v>0</v>
      </c>
      <c r="O29" s="30">
        <f>'[2]2026年度男装数据汇总分析--俄罗斯'!O29</f>
        <v>0</v>
      </c>
    </row>
    <row r="30" spans="2:14">
      <c r="B30" t="s">
        <v>0</v>
      </c>
      <c r="C30">
        <f t="shared" ref="C30:N30" si="5">IFERROR(C7/C23,0)</f>
        <v>0.0282795796691405</v>
      </c>
      <c r="D30">
        <f t="shared" si="5"/>
        <v>0.0734153356499785</v>
      </c>
      <c r="E30">
        <f t="shared" si="5"/>
        <v>0.0972261850435004</v>
      </c>
      <c r="F30">
        <f t="shared" si="5"/>
        <v>0.155786254807216</v>
      </c>
      <c r="G30">
        <f t="shared" si="5"/>
        <v>0.185128187821733</v>
      </c>
      <c r="H30">
        <f t="shared" si="5"/>
        <v>0.183834585824321</v>
      </c>
      <c r="I30">
        <f t="shared" si="5"/>
        <v>0</v>
      </c>
      <c r="J30">
        <f t="shared" si="5"/>
        <v>0</v>
      </c>
      <c r="K30">
        <f t="shared" si="5"/>
        <v>0</v>
      </c>
      <c r="L30">
        <f t="shared" si="5"/>
        <v>0</v>
      </c>
      <c r="M30">
        <f t="shared" si="5"/>
        <v>0</v>
      </c>
      <c r="N30">
        <f t="shared" si="5"/>
        <v>0</v>
      </c>
    </row>
    <row r="31" spans="2:3">
      <c r="B31" t="s">
        <v>1</v>
      </c>
      <c r="C31">
        <f>SUM(C6:N6)</f>
        <v>3064618.112</v>
      </c>
    </row>
    <row r="32" spans="2:3">
      <c r="B32" t="s">
        <v>2</v>
      </c>
      <c r="C32">
        <f>SUM(C7:N7)</f>
        <v>800480.27</v>
      </c>
    </row>
    <row r="33" spans="2:3">
      <c r="B33" t="s">
        <v>3</v>
      </c>
      <c r="C33">
        <f>IFERROR(C32/C31,0)</f>
        <v>0.261200658857165</v>
      </c>
    </row>
    <row r="35" spans="2:3">
      <c r="B35" t="s">
        <v>4</v>
      </c>
      <c r="C35">
        <f>SUM(C22:N22)</f>
        <v>0</v>
      </c>
    </row>
    <row r="36" spans="2:3">
      <c r="B36" t="s">
        <v>5</v>
      </c>
      <c r="C36">
        <f>SUM(C23:N23)</f>
        <v>6464749.91</v>
      </c>
    </row>
    <row r="37" spans="2:3">
      <c r="B37" t="s">
        <v>6</v>
      </c>
      <c r="C37">
        <f>IFERROR(C36/C35,0)</f>
        <v>0</v>
      </c>
    </row>
    <row r="39" spans="2:3">
      <c r="B39" t="s">
        <v>7</v>
      </c>
      <c r="C39" t="s">
        <v>8</v>
      </c>
    </row>
    <row r="41" spans="2:3">
      <c r="B41" t="s">
        <v>9</v>
      </c>
      <c r="C41">
        <f>IFERROR(C32/C36,0)</f>
        <v>0.123822310397774</v>
      </c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conditionalFormatting sqref="B7:N7">
    <cfRule type="cellIs" dxfId="0" priority="26" operator="greaterThan">
      <formula>0</formula>
    </cfRule>
  </conditionalFormatting>
  <conditionalFormatting sqref="C7:N7">
    <cfRule type="cellIs" dxfId="1" priority="21" operator="greaterThan">
      <formula>0</formula>
    </cfRule>
    <cfRule type="cellIs" dxfId="2" priority="20" operator="lessThan">
      <formula>0</formula>
    </cfRule>
  </conditionalFormatting>
  <conditionalFormatting sqref="O7">
    <cfRule type="cellIs" dxfId="0" priority="15" operator="greaterThan">
      <formula>0</formula>
    </cfRule>
    <cfRule type="cellIs" dxfId="1" priority="14" operator="greaterThan">
      <formula>0</formula>
    </cfRule>
    <cfRule type="cellIs" dxfId="2" priority="13" operator="lessThan">
      <formula>0</formula>
    </cfRule>
  </conditionalFormatting>
  <conditionalFormatting sqref="C8:N8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{30b6c5c4-c342-4707-952a-67fae98ec7f8}</x14:id>
        </ext>
      </extLst>
    </cfRule>
  </conditionalFormatting>
  <conditionalFormatting sqref="O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{60851b2a-8341-442d-9fad-d7f05c0c40b4}</x14:id>
        </ext>
      </extLst>
    </cfRule>
  </conditionalFormatting>
  <conditionalFormatting sqref="C12:N12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{ea8fc8d3-c39a-4337-aa37-7e8ac5fa20c3}</x14:id>
        </ext>
      </extLst>
    </cfRule>
  </conditionalFormatting>
  <conditionalFormatting sqref="O1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{eb7e0fa9-164b-4fd6-b13e-4f9f1baf5eb4}</x14:id>
        </ext>
      </extLst>
    </cfRule>
  </conditionalFormatting>
  <conditionalFormatting sqref="C16:N1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{df6f12bc-7bfc-4f9f-b334-973f18c6fd42}</x14:id>
        </ext>
      </extLst>
    </cfRule>
  </conditionalFormatting>
  <conditionalFormatting sqref="O1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{fb6dc700-866a-44c5-9842-9a5f5ccd224b}</x14:id>
        </ext>
      </extLst>
    </cfRule>
  </conditionalFormatting>
  <conditionalFormatting sqref="B20:N2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{23185326-3166-48c6-9715-0fe728ebcdef}</x14:id>
        </ext>
      </extLst>
    </cfRule>
  </conditionalFormatting>
  <conditionalFormatting sqref="O2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{6666a6fe-c2fe-495e-984d-aac79c227da2}</x14:id>
        </ext>
      </extLst>
    </cfRule>
  </conditionalFormatting>
  <conditionalFormatting sqref="C24:N2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{939a58a0-342d-4903-95b1-3ceac1e3bafe}</x14:id>
        </ext>
      </extLst>
    </cfRule>
  </conditionalFormatting>
  <conditionalFormatting sqref="O24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{128f343a-15ba-4af0-a15f-5f0bd9afbdd7}</x14:id>
        </ext>
      </extLst>
    </cfRule>
  </conditionalFormatting>
  <conditionalFormatting sqref="C27:O2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{357d1cb2-2edc-4f73-86f0-255e0b70e78c}</x14:id>
        </ext>
      </extLst>
    </cfRule>
    <cfRule type="cellIs" dxfId="1" priority="2" operator="greaterThan">
      <formula>0</formula>
    </cfRule>
    <cfRule type="cellIs" dxfId="2" priority="1" operator="lessThan">
      <formula>0</formula>
    </cfRule>
  </conditionalFormatting>
  <conditionalFormatting sqref="B28">
    <cfRule type="cellIs" dxfId="1" priority="23" operator="greaterThan">
      <formula>0</formula>
    </cfRule>
    <cfRule type="cellIs" dxfId="2" priority="22" operator="lessThan">
      <formula>0</formula>
    </cfRule>
  </conditionalFormatting>
  <conditionalFormatting sqref="B26:B27">
    <cfRule type="cellIs" dxfId="2" priority="25" operator="greaterThan">
      <formula>0.68</formula>
    </cfRule>
    <cfRule type="cellIs" dxfId="1" priority="24" operator="lessThan">
      <formula>0.68</formula>
    </cfRule>
  </conditionalFormatting>
  <conditionalFormatting sqref="C26:O26 C28:O28 D27:N27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{903c3187-c738-4c5d-91cb-747972db8be5}</x14:id>
        </ext>
      </extLst>
    </cfRule>
  </conditionalFormatting>
  <conditionalFormatting sqref="C26:O26 C28:O28 D27:O27">
    <cfRule type="cellIs" dxfId="2" priority="4" operator="greaterThan">
      <formula>0.68</formula>
    </cfRule>
    <cfRule type="cellIs" dxfId="1" priority="3" operator="lessThan">
      <formula>0.68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b6c5c4-c342-4707-952a-67fae98ec7f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C8:N8</xm:sqref>
        </x14:conditionalFormatting>
        <x14:conditionalFormatting xmlns:xm="http://schemas.microsoft.com/office/excel/2006/main">
          <x14:cfRule type="dataBar" id="{60851b2a-8341-442d-9fad-d7f05c0c40b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O8</xm:sqref>
        </x14:conditionalFormatting>
        <x14:conditionalFormatting xmlns:xm="http://schemas.microsoft.com/office/excel/2006/main">
          <x14:cfRule type="dataBar" id="{ea8fc8d3-c39a-4337-aa37-7e8ac5fa20c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C12:N12</xm:sqref>
        </x14:conditionalFormatting>
        <x14:conditionalFormatting xmlns:xm="http://schemas.microsoft.com/office/excel/2006/main">
          <x14:cfRule type="dataBar" id="{eb7e0fa9-164b-4fd6-b13e-4f9f1baf5eb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O12</xm:sqref>
        </x14:conditionalFormatting>
        <x14:conditionalFormatting xmlns:xm="http://schemas.microsoft.com/office/excel/2006/main">
          <x14:cfRule type="dataBar" id="{df6f12bc-7bfc-4f9f-b334-973f18c6fd4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C16:N16</xm:sqref>
        </x14:conditionalFormatting>
        <x14:conditionalFormatting xmlns:xm="http://schemas.microsoft.com/office/excel/2006/main">
          <x14:cfRule type="dataBar" id="{fb6dc700-866a-44c5-9842-9a5f5ccd224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O16</xm:sqref>
        </x14:conditionalFormatting>
        <x14:conditionalFormatting xmlns:xm="http://schemas.microsoft.com/office/excel/2006/main">
          <x14:cfRule type="dataBar" id="{23185326-3166-48c6-9715-0fe728ebcde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B20:N20</xm:sqref>
        </x14:conditionalFormatting>
        <x14:conditionalFormatting xmlns:xm="http://schemas.microsoft.com/office/excel/2006/main">
          <x14:cfRule type="dataBar" id="{6666a6fe-c2fe-495e-984d-aac79c227da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O20</xm:sqref>
        </x14:conditionalFormatting>
        <x14:conditionalFormatting xmlns:xm="http://schemas.microsoft.com/office/excel/2006/main">
          <x14:cfRule type="dataBar" id="{939a58a0-342d-4903-95b1-3ceac1e3baf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C24:N24</xm:sqref>
        </x14:conditionalFormatting>
        <x14:conditionalFormatting xmlns:xm="http://schemas.microsoft.com/office/excel/2006/main">
          <x14:cfRule type="dataBar" id="{128f343a-15ba-4af0-a15f-5f0bd9afbdd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O24</xm:sqref>
        </x14:conditionalFormatting>
        <x14:conditionalFormatting xmlns:xm="http://schemas.microsoft.com/office/excel/2006/main">
          <x14:cfRule type="dataBar" id="{357d1cb2-2edc-4f73-86f0-255e0b70e78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C27:O27</xm:sqref>
        </x14:conditionalFormatting>
        <x14:conditionalFormatting xmlns:xm="http://schemas.microsoft.com/office/excel/2006/main">
          <x14:cfRule type="dataBar" id="{903c3187-c738-4c5d-91cb-747972db8be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C26:O26 C28:O28 D27:N27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G33" sqref="G33"/>
    </sheetView>
  </sheetViews>
  <sheetFormatPr defaultColWidth="14.2222222222222" defaultRowHeight="14.4"/>
  <cols>
    <col min="1" max="14" width="14.2222222222222" style="1" customWidth="1"/>
    <col min="15" max="15" width="18.4444444444444" style="1" customWidth="1"/>
    <col min="16" max="16384" width="14.2222222222222" style="1" customWidth="1"/>
  </cols>
  <sheetData>
    <row r="1" ht="15.6" customHeight="1" spans="1:15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</row>
    <row r="2" ht="15.6" customHeight="1" spans="1:15">
      <c r="A2" s="2" t="s">
        <v>11</v>
      </c>
      <c r="B2" s="2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25" t="s">
        <v>19</v>
      </c>
      <c r="J2" s="25" t="s">
        <v>20</v>
      </c>
      <c r="K2" s="25" t="s">
        <v>21</v>
      </c>
      <c r="L2" s="26" t="s">
        <v>22</v>
      </c>
      <c r="M2" s="26" t="s">
        <v>23</v>
      </c>
      <c r="N2" s="26" t="s">
        <v>24</v>
      </c>
      <c r="O2" s="2" t="s">
        <v>25</v>
      </c>
    </row>
    <row r="3" ht="15.6" customHeight="1" spans="1:15">
      <c r="A3" s="6"/>
      <c r="B3" s="2" t="s">
        <v>26</v>
      </c>
      <c r="C3" s="4" t="s">
        <v>27</v>
      </c>
      <c r="D3" s="3"/>
      <c r="E3" s="7"/>
      <c r="F3" s="5" t="s">
        <v>28</v>
      </c>
      <c r="G3" s="3"/>
      <c r="H3" s="7"/>
      <c r="I3" s="25" t="s">
        <v>29</v>
      </c>
      <c r="J3" s="3"/>
      <c r="K3" s="7"/>
      <c r="L3" s="26" t="s">
        <v>30</v>
      </c>
      <c r="M3" s="3"/>
      <c r="N3" s="7"/>
      <c r="O3" s="6"/>
    </row>
    <row r="4" ht="15.6" customHeight="1" spans="1:15">
      <c r="A4" s="6"/>
      <c r="B4" s="2" t="s">
        <v>31</v>
      </c>
      <c r="C4" s="8">
        <f>(C7+D7+E7)</f>
        <v>980815.72</v>
      </c>
      <c r="D4" s="3"/>
      <c r="E4" s="7"/>
      <c r="F4" s="5">
        <f>(F7+G7+H7)</f>
        <v>956446.81</v>
      </c>
      <c r="G4" s="3"/>
      <c r="H4" s="7"/>
      <c r="I4" s="25">
        <f>(I7+J7+K7)</f>
        <v>0</v>
      </c>
      <c r="J4" s="3"/>
      <c r="K4" s="7"/>
      <c r="L4" s="26">
        <f>(L7+M7+N7)</f>
        <v>0</v>
      </c>
      <c r="M4" s="3"/>
      <c r="N4" s="7"/>
      <c r="O4" s="6"/>
    </row>
    <row r="5" ht="15.6" customHeight="1" spans="1:15">
      <c r="A5" s="9"/>
      <c r="B5" s="10" t="s">
        <v>32</v>
      </c>
      <c r="C5" s="11">
        <f>(C7+D7+E7)/(C6+D6+E6)</f>
        <v>1.09907263870695</v>
      </c>
      <c r="D5" s="3"/>
      <c r="E5" s="7"/>
      <c r="F5" s="12">
        <f>(F7+G7+H7)/(F6+G6+H6)</f>
        <v>1.07733007982046</v>
      </c>
      <c r="G5" s="3"/>
      <c r="H5" s="7"/>
      <c r="I5" s="27">
        <f>(I7+J7+K7)/(I6+J6+K6)</f>
        <v>0</v>
      </c>
      <c r="J5" s="3"/>
      <c r="K5" s="7"/>
      <c r="L5" s="28">
        <f>(L7+M7+N7)/(L6+M6+N6)</f>
        <v>0</v>
      </c>
      <c r="M5" s="3"/>
      <c r="N5" s="7"/>
      <c r="O5" s="9"/>
    </row>
    <row r="6" ht="46.8" customHeight="1" spans="1:15">
      <c r="A6" s="2" t="s">
        <v>33</v>
      </c>
      <c r="B6" s="13" t="s">
        <v>34</v>
      </c>
      <c r="C6" s="14">
        <f>[3]总目标!B31</f>
        <v>249399.554098361</v>
      </c>
      <c r="D6" s="14">
        <f>[3]总目标!C31</f>
        <v>359988.363934426</v>
      </c>
      <c r="E6" s="14">
        <f>[3]总目标!D31</f>
        <v>283015.081967213</v>
      </c>
      <c r="F6" s="14">
        <f>[3]总目标!E31</f>
        <v>292149.336065573</v>
      </c>
      <c r="G6" s="14">
        <f>[3]总目标!F31</f>
        <v>251744.803278688</v>
      </c>
      <c r="H6" s="14">
        <f>[3]总目标!G31</f>
        <v>343899.516393443</v>
      </c>
      <c r="I6" s="14">
        <f>[3]总目标!H31</f>
        <v>432694.442622951</v>
      </c>
      <c r="J6" s="14">
        <f>[3]总目标!I31</f>
        <v>416424.590163934</v>
      </c>
      <c r="K6" s="14">
        <f>[3]总目标!J31</f>
        <v>396103.770491803</v>
      </c>
      <c r="L6" s="14">
        <f>[3]总目标!K31</f>
        <v>385857.049180328</v>
      </c>
      <c r="M6" s="14">
        <f>[3]总目标!L31</f>
        <v>398718.950819672</v>
      </c>
      <c r="N6" s="14">
        <f>[3]总目标!M31</f>
        <v>262747.868852459</v>
      </c>
      <c r="O6" s="29">
        <f>SUM(C6:N6)</f>
        <v>4072743.32786885</v>
      </c>
    </row>
    <row r="7" ht="15.6" customHeight="1" spans="1:15">
      <c r="A7" s="6"/>
      <c r="B7" s="15" t="s">
        <v>35</v>
      </c>
      <c r="C7" s="16">
        <v>198675.03</v>
      </c>
      <c r="D7" s="16">
        <v>502592.19</v>
      </c>
      <c r="E7" s="16">
        <v>279548.5</v>
      </c>
      <c r="F7" s="16">
        <v>413363.72</v>
      </c>
      <c r="G7" s="16">
        <v>368664.37</v>
      </c>
      <c r="H7" s="16">
        <v>174418.72</v>
      </c>
      <c r="I7" s="16"/>
      <c r="J7" s="16"/>
      <c r="K7" s="16"/>
      <c r="L7" s="16"/>
      <c r="M7" s="16"/>
      <c r="N7" s="16"/>
      <c r="O7" s="16">
        <f>SUM(C7:N7)</f>
        <v>1937262.53</v>
      </c>
    </row>
    <row r="8" ht="15.6" customHeight="1" spans="1:15">
      <c r="A8" s="6"/>
      <c r="B8" s="2" t="s">
        <v>36</v>
      </c>
      <c r="C8" s="17">
        <f t="shared" ref="C8:N8" si="0">IFERROR(C7/C6,0)</f>
        <v>0.796613413036193</v>
      </c>
      <c r="D8" s="17">
        <f t="shared" si="0"/>
        <v>1.39613454309193</v>
      </c>
      <c r="E8" s="17">
        <f t="shared" si="0"/>
        <v>0.987751246530336</v>
      </c>
      <c r="F8" s="17">
        <f t="shared" si="0"/>
        <v>1.4149055601729</v>
      </c>
      <c r="G8" s="17">
        <f t="shared" si="0"/>
        <v>1.46443686303975</v>
      </c>
      <c r="H8" s="17">
        <f t="shared" si="0"/>
        <v>0.507179311646527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>O7/O6</f>
        <v>0.475665263937395</v>
      </c>
    </row>
    <row r="9" ht="15.6" customHeight="1" spans="1:15">
      <c r="A9" s="6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0"/>
    </row>
    <row r="10" ht="15.6" customHeight="1" spans="1:15">
      <c r="A10" s="6"/>
      <c r="B10" s="2" t="s">
        <v>37</v>
      </c>
      <c r="C10" s="20">
        <f>[3]陈欣诺!B7</f>
        <v>13608</v>
      </c>
      <c r="D10" s="20">
        <f>[3]陈欣诺!C7</f>
        <v>18135</v>
      </c>
      <c r="E10" s="20">
        <f>[3]陈欣诺!D7</f>
        <v>17250</v>
      </c>
      <c r="F10" s="20">
        <f>[3]陈欣诺!E7</f>
        <v>18600</v>
      </c>
      <c r="G10" s="20">
        <f>[3]陈欣诺!F7</f>
        <v>16950</v>
      </c>
      <c r="H10" s="20">
        <f>[3]陈欣诺!G7</f>
        <v>26815</v>
      </c>
      <c r="I10" s="20">
        <f>[3]陈欣诺!H7</f>
        <v>30225</v>
      </c>
      <c r="J10" s="20">
        <f>[3]陈欣诺!I7</f>
        <v>26850</v>
      </c>
      <c r="K10" s="20">
        <f>[3]陈欣诺!J7</f>
        <v>26505</v>
      </c>
      <c r="L10" s="20">
        <f>[3]陈欣诺!K7</f>
        <v>25800</v>
      </c>
      <c r="M10" s="20">
        <f>[3]陈欣诺!L7</f>
        <v>26660</v>
      </c>
      <c r="N10" s="20">
        <f>[3]陈欣诺!M7</f>
        <v>19933</v>
      </c>
      <c r="O10" s="31">
        <f>SUM(C10:N10)</f>
        <v>267331</v>
      </c>
    </row>
    <row r="11" ht="15.6" customHeight="1" spans="1:15">
      <c r="A11" s="6"/>
      <c r="B11" s="15" t="s">
        <v>38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ht="15.6" customHeight="1" spans="1:15">
      <c r="A12" s="6"/>
      <c r="B12" s="2" t="s">
        <v>39</v>
      </c>
      <c r="C12" s="10">
        <f t="shared" ref="C12:N12" si="1">IFERROR(C11/C10,0)</f>
        <v>0</v>
      </c>
      <c r="D12" s="10">
        <f t="shared" si="1"/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0"/>
    </row>
    <row r="13" ht="15.6" customHeight="1" spans="1:15">
      <c r="A13" s="6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30"/>
    </row>
    <row r="14" ht="15.6" customHeight="1" spans="1:15">
      <c r="A14" s="6"/>
      <c r="B14" s="2" t="s">
        <v>40</v>
      </c>
      <c r="C14" s="20">
        <f>[3]陈欣诺!B8</f>
        <v>4403.84</v>
      </c>
      <c r="D14" s="20">
        <f>[3]陈欣诺!C8</f>
        <v>5894.65</v>
      </c>
      <c r="E14" s="20">
        <f>[3]陈欣诺!D8</f>
        <v>5599.5</v>
      </c>
      <c r="F14" s="20">
        <f>[3]陈欣诺!E8</f>
        <v>6023.3</v>
      </c>
      <c r="G14" s="20">
        <f>[3]陈欣诺!F8</f>
        <v>5494.5</v>
      </c>
      <c r="H14" s="20">
        <f>[3]陈欣诺!G8</f>
        <v>7884.85</v>
      </c>
      <c r="I14" s="20">
        <f>[3]陈欣诺!H8</f>
        <v>8734.25</v>
      </c>
      <c r="J14" s="20">
        <f>[3]陈欣诺!I8</f>
        <v>7710</v>
      </c>
      <c r="K14" s="20">
        <f>[3]陈欣诺!J8</f>
        <v>7641.5</v>
      </c>
      <c r="L14" s="20">
        <f>[3]陈欣诺!K8</f>
        <v>7443</v>
      </c>
      <c r="M14" s="20">
        <f>[3]陈欣诺!L8</f>
        <v>7691.1</v>
      </c>
      <c r="N14" s="20">
        <f>[3]陈欣诺!M8</f>
        <v>5719.5</v>
      </c>
      <c r="O14" s="31">
        <f>SUM(C14:N14)</f>
        <v>80239.99</v>
      </c>
    </row>
    <row r="15" ht="15.6" customHeight="1" spans="1:15">
      <c r="A15" s="6"/>
      <c r="B15" s="15" t="s">
        <v>41</v>
      </c>
      <c r="C15" s="15">
        <v>4594</v>
      </c>
      <c r="D15" s="15">
        <v>8499</v>
      </c>
      <c r="E15" s="15">
        <v>6477</v>
      </c>
      <c r="F15" s="15">
        <v>8136</v>
      </c>
      <c r="G15" s="15">
        <v>5819</v>
      </c>
      <c r="H15" s="15">
        <v>3026</v>
      </c>
      <c r="I15" s="15"/>
      <c r="J15" s="15"/>
      <c r="K15" s="15"/>
      <c r="L15" s="15"/>
      <c r="M15" s="15"/>
      <c r="N15" s="15"/>
      <c r="O15" s="15"/>
    </row>
    <row r="16" ht="15.6" customHeight="1" spans="1:15">
      <c r="A16" s="6"/>
      <c r="B16" s="2" t="s">
        <v>42</v>
      </c>
      <c r="C16" s="10">
        <f t="shared" ref="C16:N16" si="2">IFERROR(C15/C14,0)</f>
        <v>1.04318049702078</v>
      </c>
      <c r="D16" s="10">
        <f t="shared" si="2"/>
        <v>1.44181588389472</v>
      </c>
      <c r="E16" s="10">
        <f t="shared" si="2"/>
        <v>1.15671042057327</v>
      </c>
      <c r="F16" s="10">
        <f t="shared" si="2"/>
        <v>1.35075456975412</v>
      </c>
      <c r="G16" s="10">
        <f t="shared" si="2"/>
        <v>1.05905905905906</v>
      </c>
      <c r="H16" s="10">
        <f t="shared" si="2"/>
        <v>0.383773946238673</v>
      </c>
      <c r="I16" s="10">
        <f t="shared" si="2"/>
        <v>0</v>
      </c>
      <c r="J16" s="10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0"/>
    </row>
    <row r="17" ht="15.6" customHeight="1" spans="1:15">
      <c r="A17" s="6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30"/>
    </row>
    <row r="18" ht="15.6" customHeight="1" spans="1:15">
      <c r="A18" s="6"/>
      <c r="B18" s="21" t="s">
        <v>43</v>
      </c>
      <c r="C18" s="21">
        <f>[3]陈欣诺!B4</f>
        <v>56082794</v>
      </c>
      <c r="D18" s="21">
        <f>[3]陈欣诺!C4</f>
        <v>74982800</v>
      </c>
      <c r="E18" s="21">
        <f>[3]陈欣诺!D4</f>
        <v>71130000</v>
      </c>
      <c r="F18" s="21">
        <f>[3]陈欣诺!E4</f>
        <v>76384000</v>
      </c>
      <c r="G18" s="21">
        <f>[3]陈欣诺!F4</f>
        <v>69642000</v>
      </c>
      <c r="H18" s="21">
        <f>[3]陈欣诺!G4</f>
        <v>114554300</v>
      </c>
      <c r="I18" s="21">
        <f>[3]陈欣诺!H4</f>
        <v>129936500</v>
      </c>
      <c r="J18" s="21">
        <f>[3]陈欣诺!I4</f>
        <v>116677500</v>
      </c>
      <c r="K18" s="21">
        <f>[3]陈欣诺!J4</f>
        <v>115064250</v>
      </c>
      <c r="L18" s="21">
        <f>[3]陈欣诺!K4</f>
        <v>111975000</v>
      </c>
      <c r="M18" s="21">
        <f>[3]陈欣诺!L4</f>
        <v>115707500</v>
      </c>
      <c r="N18" s="21">
        <f>[3]陈欣诺!M4</f>
        <v>86663600</v>
      </c>
      <c r="O18" s="33">
        <f>SUM(C18:N18)</f>
        <v>1138800244</v>
      </c>
    </row>
    <row r="19" ht="15.6" customHeight="1" spans="1:15">
      <c r="A19" s="6"/>
      <c r="B19" s="22" t="s">
        <v>44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ht="15.6" customHeight="1" spans="1:15">
      <c r="A20" s="6"/>
      <c r="B20" s="2" t="s">
        <v>45</v>
      </c>
      <c r="C20" s="10">
        <f t="shared" ref="C20:N20" si="3">IFERROR(C19/C18,0)</f>
        <v>0</v>
      </c>
      <c r="D20" s="10">
        <f t="shared" si="3"/>
        <v>0</v>
      </c>
      <c r="E20" s="10">
        <f t="shared" si="3"/>
        <v>0</v>
      </c>
      <c r="F20" s="10">
        <f t="shared" si="3"/>
        <v>0</v>
      </c>
      <c r="G20" s="10">
        <f t="shared" si="3"/>
        <v>0</v>
      </c>
      <c r="H20" s="10">
        <f t="shared" si="3"/>
        <v>0</v>
      </c>
      <c r="I20" s="10">
        <f t="shared" si="3"/>
        <v>0</v>
      </c>
      <c r="J20" s="10">
        <f t="shared" si="3"/>
        <v>0</v>
      </c>
      <c r="K20" s="10">
        <f t="shared" si="3"/>
        <v>0</v>
      </c>
      <c r="L20" s="10">
        <f t="shared" si="3"/>
        <v>0</v>
      </c>
      <c r="M20" s="10">
        <f t="shared" si="3"/>
        <v>0</v>
      </c>
      <c r="N20" s="10">
        <f t="shared" si="3"/>
        <v>0</v>
      </c>
      <c r="O20" s="10"/>
    </row>
    <row r="21" ht="15.6" customHeight="1" spans="1:15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0"/>
    </row>
    <row r="22" ht="15.6" customHeight="1" spans="1:15">
      <c r="A22" s="6"/>
      <c r="B22" s="2" t="s">
        <v>46</v>
      </c>
      <c r="C22" s="23">
        <f>[3]陈欣诺!B5/12.5</f>
        <v>1448886.656</v>
      </c>
      <c r="D22" s="23">
        <f>[3]陈欣诺!C5/12.5</f>
        <v>1951234.24</v>
      </c>
      <c r="E22" s="23">
        <f>[3]陈欣诺!D5/12.5</f>
        <v>1848696</v>
      </c>
      <c r="F22" s="23">
        <f>[3]陈欣诺!E5/12.5</f>
        <v>1980776</v>
      </c>
      <c r="G22" s="23">
        <f>[3]陈欣诺!F5/12.5</f>
        <v>1807761.6</v>
      </c>
      <c r="H22" s="23">
        <f>[3]陈欣诺!G5/12.5</f>
        <v>2668375.84</v>
      </c>
      <c r="I22" s="23">
        <f>[3]陈欣诺!H5/12.5</f>
        <v>2970469.6</v>
      </c>
      <c r="J22" s="23">
        <f>[3]陈欣诺!I5/12.5</f>
        <v>2650272</v>
      </c>
      <c r="K22" s="23">
        <f>[3]陈欣诺!J5/12.5</f>
        <v>2624683.2</v>
      </c>
      <c r="L22" s="23">
        <f>[3]陈欣诺!K5/12.5</f>
        <v>2555952</v>
      </c>
      <c r="M22" s="23">
        <f>[3]陈欣诺!L5/12.5</f>
        <v>2641150.4</v>
      </c>
      <c r="N22" s="23">
        <f>[3]陈欣诺!M5/12.5</f>
        <v>1966937.6</v>
      </c>
      <c r="O22" s="29">
        <f>SUM(C22:N22)</f>
        <v>27115195.136</v>
      </c>
    </row>
    <row r="23" ht="15.6" customHeight="1" spans="1:15">
      <c r="A23" s="6"/>
      <c r="B23" s="15" t="s">
        <v>47</v>
      </c>
      <c r="C23" s="24">
        <v>1601766.93</v>
      </c>
      <c r="D23" s="24">
        <v>3104450.14</v>
      </c>
      <c r="E23" s="24">
        <v>2319699.82</v>
      </c>
      <c r="F23" s="24">
        <v>3021675.99</v>
      </c>
      <c r="G23" s="24">
        <v>2263842.98</v>
      </c>
      <c r="H23" s="24">
        <v>1085626.07</v>
      </c>
      <c r="I23" s="24"/>
      <c r="J23" s="24"/>
      <c r="K23" s="24"/>
      <c r="L23" s="24"/>
      <c r="M23" s="24"/>
      <c r="N23" s="24"/>
      <c r="O23" s="16"/>
    </row>
    <row r="24" ht="15.6" customHeight="1" spans="1:15">
      <c r="A24" s="6"/>
      <c r="B24" s="2" t="s">
        <v>48</v>
      </c>
      <c r="C24" s="10">
        <f t="shared" ref="C24:N24" si="4">IFERROR(C23/C22,0)</f>
        <v>1.10551568914442</v>
      </c>
      <c r="D24" s="10">
        <f t="shared" si="4"/>
        <v>1.59101868774094</v>
      </c>
      <c r="E24" s="10">
        <f t="shared" si="4"/>
        <v>1.25477624228105</v>
      </c>
      <c r="F24" s="10">
        <f t="shared" si="4"/>
        <v>1.52550111168552</v>
      </c>
      <c r="G24" s="10">
        <f t="shared" si="4"/>
        <v>1.25229066708796</v>
      </c>
      <c r="H24" s="10">
        <f t="shared" si="4"/>
        <v>0.406849010445245</v>
      </c>
      <c r="I24" s="10">
        <f t="shared" si="4"/>
        <v>0</v>
      </c>
      <c r="J24" s="10">
        <f t="shared" si="4"/>
        <v>0</v>
      </c>
      <c r="K24" s="10">
        <f t="shared" si="4"/>
        <v>0</v>
      </c>
      <c r="L24" s="10">
        <f t="shared" si="4"/>
        <v>0</v>
      </c>
      <c r="M24" s="10">
        <f t="shared" si="4"/>
        <v>0</v>
      </c>
      <c r="N24" s="10">
        <f t="shared" si="4"/>
        <v>0</v>
      </c>
      <c r="O24" s="10"/>
    </row>
    <row r="25" ht="15.6" customHeight="1" spans="1:15">
      <c r="A25" s="6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30"/>
    </row>
    <row r="26" ht="15.6" customHeight="1" spans="1:15">
      <c r="A26" s="6"/>
      <c r="B26" s="2" t="s">
        <v>49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15.6" customHeight="1" spans="1:15">
      <c r="A27" s="6"/>
      <c r="B27" s="2" t="s">
        <v>50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ht="15.6" customHeight="1" spans="1:15">
      <c r="A28" s="6"/>
      <c r="B28" s="2" t="s">
        <v>0</v>
      </c>
      <c r="C28" s="17">
        <f t="shared" ref="C28:N28" si="5">IFERROR(C7/C23,0)</f>
        <v>0.124034918113836</v>
      </c>
      <c r="D28" s="17">
        <f t="shared" si="5"/>
        <v>0.161894109209304</v>
      </c>
      <c r="E28" s="17">
        <f t="shared" si="5"/>
        <v>0.120510635725272</v>
      </c>
      <c r="F28" s="17">
        <f t="shared" si="5"/>
        <v>0.136799485241963</v>
      </c>
      <c r="G28" s="17">
        <f t="shared" si="5"/>
        <v>0.162848913664498</v>
      </c>
      <c r="H28" s="17">
        <f t="shared" si="5"/>
        <v>0.160661875041376</v>
      </c>
      <c r="I28" s="17">
        <f t="shared" si="5"/>
        <v>0</v>
      </c>
      <c r="J28" s="17">
        <f t="shared" si="5"/>
        <v>0</v>
      </c>
      <c r="K28" s="17">
        <f t="shared" si="5"/>
        <v>0</v>
      </c>
      <c r="L28" s="17">
        <f t="shared" si="5"/>
        <v>0</v>
      </c>
      <c r="M28" s="17">
        <f t="shared" si="5"/>
        <v>0</v>
      </c>
      <c r="N28" s="17">
        <f t="shared" si="5"/>
        <v>0</v>
      </c>
      <c r="O28" s="17"/>
    </row>
    <row r="29" ht="15.6" customHeight="1" spans="1:15">
      <c r="A29" s="9"/>
      <c r="B29" s="18" t="s">
        <v>1</v>
      </c>
      <c r="C29" s="19">
        <f>SUM(C6:N6)</f>
        <v>4072743.32786885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30"/>
    </row>
    <row r="30" spans="2:3">
      <c r="B30" t="s">
        <v>2</v>
      </c>
      <c r="C30">
        <f>SUM(C7:N7)</f>
        <v>1937262.53</v>
      </c>
    </row>
    <row r="31" spans="2:3">
      <c r="B31" t="s">
        <v>3</v>
      </c>
      <c r="C31">
        <f>IFERROR(C30/C29,0)</f>
        <v>0.475665263937395</v>
      </c>
    </row>
    <row r="33" spans="2:3">
      <c r="B33" t="s">
        <v>4</v>
      </c>
      <c r="C33">
        <f>SUM(C22:N22)</f>
        <v>27115195.136</v>
      </c>
    </row>
    <row r="34" spans="2:3">
      <c r="B34" t="s">
        <v>5</v>
      </c>
      <c r="C34">
        <f>SUM(C23:N23)</f>
        <v>13397061.93</v>
      </c>
    </row>
    <row r="35" spans="2:3">
      <c r="B35" t="s">
        <v>6</v>
      </c>
      <c r="C35">
        <f>IFERROR(C34/C33,0)</f>
        <v>0.494079495382762</v>
      </c>
    </row>
    <row r="37" spans="2:3">
      <c r="B37" t="s">
        <v>7</v>
      </c>
      <c r="C37" t="s">
        <v>8</v>
      </c>
    </row>
    <row r="39" spans="2:3">
      <c r="B39" t="s">
        <v>9</v>
      </c>
      <c r="C39">
        <f>IFERROR(C30/C34,0)</f>
        <v>0.144603536217288</v>
      </c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D10" sqref="C10:N10"/>
    </sheetView>
  </sheetViews>
  <sheetFormatPr defaultColWidth="8.88888888888889" defaultRowHeight="14.4"/>
  <cols>
    <col min="1" max="1" width="14.1111111111111" style="1" customWidth="1"/>
    <col min="2" max="2" width="20.8888888888889" style="1" customWidth="1"/>
    <col min="3" max="14" width="15.3333333333333" style="1" customWidth="1"/>
    <col min="15" max="15" width="17.4444444444444" style="1" customWidth="1"/>
  </cols>
  <sheetData>
    <row r="1" ht="15.6" customHeight="1" spans="1:15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</row>
    <row r="2" ht="15.6" customHeight="1" spans="1:15">
      <c r="A2" s="2" t="s">
        <v>11</v>
      </c>
      <c r="B2" s="2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25" t="s">
        <v>19</v>
      </c>
      <c r="J2" s="25" t="s">
        <v>20</v>
      </c>
      <c r="K2" s="25" t="s">
        <v>21</v>
      </c>
      <c r="L2" s="26" t="s">
        <v>22</v>
      </c>
      <c r="M2" s="26" t="s">
        <v>23</v>
      </c>
      <c r="N2" s="26" t="s">
        <v>24</v>
      </c>
      <c r="O2" s="2" t="s">
        <v>25</v>
      </c>
    </row>
    <row r="3" ht="15.6" customHeight="1" spans="1:15">
      <c r="A3" s="6"/>
      <c r="B3" s="2" t="s">
        <v>26</v>
      </c>
      <c r="C3" s="4" t="s">
        <v>27</v>
      </c>
      <c r="D3" s="3"/>
      <c r="E3" s="7"/>
      <c r="F3" s="5" t="s">
        <v>28</v>
      </c>
      <c r="G3" s="3"/>
      <c r="H3" s="7"/>
      <c r="I3" s="25" t="s">
        <v>29</v>
      </c>
      <c r="J3" s="3"/>
      <c r="K3" s="7"/>
      <c r="L3" s="26" t="s">
        <v>30</v>
      </c>
      <c r="M3" s="3"/>
      <c r="N3" s="7"/>
      <c r="O3" s="6"/>
    </row>
    <row r="4" ht="15.6" customHeight="1" spans="1:15">
      <c r="A4" s="6"/>
      <c r="B4" s="2" t="s">
        <v>31</v>
      </c>
      <c r="C4" s="8">
        <f>(C7+D7+E7)</f>
        <v>1407331.49</v>
      </c>
      <c r="D4" s="3"/>
      <c r="E4" s="7"/>
      <c r="F4" s="5">
        <f>(F7+G7+H7)</f>
        <v>1517343.21</v>
      </c>
      <c r="G4" s="3"/>
      <c r="H4" s="7"/>
      <c r="I4" s="25">
        <f>(I7+J7+K7)</f>
        <v>0</v>
      </c>
      <c r="J4" s="3"/>
      <c r="K4" s="7"/>
      <c r="L4" s="26">
        <f>(L7+M7+N7)</f>
        <v>0</v>
      </c>
      <c r="M4" s="3"/>
      <c r="N4" s="7"/>
      <c r="O4" s="6"/>
    </row>
    <row r="5" ht="15.6" customHeight="1" spans="1:15">
      <c r="A5" s="9"/>
      <c r="B5" s="10" t="s">
        <v>32</v>
      </c>
      <c r="C5" s="11">
        <f>(C7+D7+E7)/(C6+D6+E6)</f>
        <v>1.03098286538076</v>
      </c>
      <c r="D5" s="3"/>
      <c r="E5" s="7"/>
      <c r="F5" s="12">
        <f>(F7+G7+H7)/(F6+G6+H6)</f>
        <v>1.22066397909417</v>
      </c>
      <c r="G5" s="3"/>
      <c r="H5" s="7"/>
      <c r="I5" s="27">
        <f>(I7+J7+K7)/(I6+J6+K6)</f>
        <v>0</v>
      </c>
      <c r="J5" s="3"/>
      <c r="K5" s="7"/>
      <c r="L5" s="28">
        <f>(L7+M7+N7)/(L6+M6+N6)</f>
        <v>0</v>
      </c>
      <c r="M5" s="3"/>
      <c r="N5" s="7"/>
      <c r="O5" s="9"/>
    </row>
    <row r="6" ht="31.2" customHeight="1" spans="1:15">
      <c r="A6" s="2" t="s">
        <v>33</v>
      </c>
      <c r="B6" s="13" t="s">
        <v>34</v>
      </c>
      <c r="C6" s="14">
        <f>[3]总目标!B44</f>
        <v>372843</v>
      </c>
      <c r="D6" s="14">
        <f>[3]总目标!C44</f>
        <v>566214.491803279</v>
      </c>
      <c r="E6" s="14">
        <f>[3]总目标!D44</f>
        <v>425981.18852459</v>
      </c>
      <c r="F6" s="14">
        <f>[3]总目标!E44</f>
        <v>428093.165983607</v>
      </c>
      <c r="G6" s="14">
        <f>[3]总目标!F44</f>
        <v>438328.647540984</v>
      </c>
      <c r="H6" s="14">
        <f>[3]总目标!G44</f>
        <v>376625.606557377</v>
      </c>
      <c r="I6" s="14">
        <f>[3]总目标!H44</f>
        <v>516638.599385246</v>
      </c>
      <c r="J6" s="14">
        <f>[3]总目标!I44</f>
        <v>499972.838114754</v>
      </c>
      <c r="K6" s="14">
        <f>[3]总目标!J44</f>
        <v>490032.5</v>
      </c>
      <c r="L6" s="14">
        <f>[3]总目标!K44</f>
        <v>474225</v>
      </c>
      <c r="M6" s="14">
        <f>[3]总目标!L44</f>
        <v>490032.5</v>
      </c>
      <c r="N6" s="14">
        <f>[3]总目标!M44</f>
        <v>318392.868852459</v>
      </c>
      <c r="O6" s="29">
        <f>SUM(C6:N6)</f>
        <v>5397380.4067623</v>
      </c>
    </row>
    <row r="7" ht="15.6" customHeight="1" spans="1:15">
      <c r="A7" s="6"/>
      <c r="B7" s="15" t="s">
        <v>35</v>
      </c>
      <c r="C7" s="16">
        <v>267531.84</v>
      </c>
      <c r="D7" s="16">
        <v>703000.73</v>
      </c>
      <c r="E7" s="16">
        <v>436798.92</v>
      </c>
      <c r="F7" s="16">
        <v>538020.94</v>
      </c>
      <c r="G7" s="16">
        <v>623987.26</v>
      </c>
      <c r="H7" s="16">
        <v>355335.01</v>
      </c>
      <c r="I7" s="16"/>
      <c r="J7" s="16"/>
      <c r="K7" s="16"/>
      <c r="L7" s="16"/>
      <c r="M7" s="16"/>
      <c r="N7" s="16"/>
      <c r="O7" s="16">
        <f>SUM(C7:N7)</f>
        <v>2924674.7</v>
      </c>
    </row>
    <row r="8" ht="15.6" customHeight="1" spans="1:15">
      <c r="A8" s="6"/>
      <c r="B8" s="2" t="s">
        <v>36</v>
      </c>
      <c r="C8" s="17">
        <f t="shared" ref="C8:N8" si="0">IFERROR(C7/C6,0)</f>
        <v>0.717545562073044</v>
      </c>
      <c r="D8" s="17">
        <f t="shared" si="0"/>
        <v>1.24158024949359</v>
      </c>
      <c r="E8" s="17">
        <f t="shared" si="0"/>
        <v>1.02539485725386</v>
      </c>
      <c r="F8" s="17">
        <f t="shared" si="0"/>
        <v>1.25678469723715</v>
      </c>
      <c r="G8" s="17">
        <f t="shared" si="0"/>
        <v>1.42356029773677</v>
      </c>
      <c r="H8" s="17">
        <f t="shared" si="0"/>
        <v>0.943470130053057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>O7/O6</f>
        <v>0.541869292061705</v>
      </c>
    </row>
    <row r="9" ht="15.6" customHeight="1" spans="1:15">
      <c r="A9" s="6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0"/>
    </row>
    <row r="10" ht="15.6" customHeight="1" spans="1:15">
      <c r="A10" s="6"/>
      <c r="B10" s="2" t="s">
        <v>37</v>
      </c>
      <c r="C10" s="20">
        <f>[3]林梓蕾!B7</f>
        <v>17722.7622461171</v>
      </c>
      <c r="D10" s="20">
        <f>[3]林梓蕾!C7</f>
        <v>22630</v>
      </c>
      <c r="E10" s="20">
        <f>[3]林梓蕾!D7</f>
        <v>22800</v>
      </c>
      <c r="F10" s="20">
        <f>[3]林梓蕾!E7</f>
        <v>23250</v>
      </c>
      <c r="G10" s="20">
        <f>[3]林梓蕾!F7</f>
        <v>24300</v>
      </c>
      <c r="H10" s="20">
        <f>[3]林梓蕾!G7</f>
        <v>22630</v>
      </c>
      <c r="I10" s="20">
        <f>[3]林梓蕾!H7</f>
        <v>28365</v>
      </c>
      <c r="J10" s="20">
        <f>[3]林梓蕾!I7</f>
        <v>27450</v>
      </c>
      <c r="K10" s="20">
        <f>[3]林梓蕾!J7</f>
        <v>27900</v>
      </c>
      <c r="L10" s="20">
        <f>[3]林梓蕾!K7</f>
        <v>27000</v>
      </c>
      <c r="M10" s="20">
        <f>[3]林梓蕾!L7</f>
        <v>27900</v>
      </c>
      <c r="N10" s="20">
        <f>[3]林梓蕾!M7</f>
        <v>20150</v>
      </c>
      <c r="O10" s="31">
        <f>SUM(C10:N10)</f>
        <v>292097.762246117</v>
      </c>
    </row>
    <row r="11" ht="15.6" customHeight="1" spans="1:15">
      <c r="A11" s="6"/>
      <c r="B11" s="15" t="s">
        <v>38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ht="15.6" customHeight="1" spans="1:15">
      <c r="A12" s="6"/>
      <c r="B12" s="2" t="s">
        <v>39</v>
      </c>
      <c r="C12" s="10">
        <f t="shared" ref="C12:N12" si="1">IFERROR(C11/C10,0)</f>
        <v>0</v>
      </c>
      <c r="D12" s="10">
        <f t="shared" si="1"/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0"/>
    </row>
    <row r="13" ht="15.6" customHeight="1" spans="1:15">
      <c r="A13" s="6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30"/>
    </row>
    <row r="14" ht="15.6" customHeight="1" spans="1:15">
      <c r="A14" s="6"/>
      <c r="B14" s="2" t="s">
        <v>40</v>
      </c>
      <c r="C14" s="20">
        <f>[3]林梓蕾!B8</f>
        <v>5752.7762962963</v>
      </c>
      <c r="D14" s="20">
        <f>[3]林梓蕾!C8</f>
        <v>7074.2</v>
      </c>
      <c r="E14" s="20">
        <f>[3]林梓蕾!D8</f>
        <v>7122</v>
      </c>
      <c r="F14" s="20">
        <f>[3]林梓蕾!E8</f>
        <v>7263.3</v>
      </c>
      <c r="G14" s="20">
        <f>[3]林梓蕾!F8</f>
        <v>7599</v>
      </c>
      <c r="H14" s="20">
        <f>[3]林梓蕾!G8</f>
        <v>7077.3</v>
      </c>
      <c r="I14" s="20">
        <f>[3]林梓蕾!H8</f>
        <v>8873.75</v>
      </c>
      <c r="J14" s="20">
        <f>[3]林梓蕾!I8</f>
        <v>8587.5</v>
      </c>
      <c r="K14" s="20">
        <f>[3]林梓蕾!J8</f>
        <v>8726.5</v>
      </c>
      <c r="L14" s="20">
        <f>[3]林梓蕾!K8</f>
        <v>8445</v>
      </c>
      <c r="M14" s="20">
        <f>[3]林梓蕾!L8</f>
        <v>8726.5</v>
      </c>
      <c r="N14" s="20">
        <f>[3]林梓蕾!M8</f>
        <v>6299.2</v>
      </c>
      <c r="O14" s="32">
        <f>SUM(C14:N14)</f>
        <v>91547.0262962963</v>
      </c>
    </row>
    <row r="15" ht="15.6" customHeight="1" spans="1:15">
      <c r="A15" s="6"/>
      <c r="B15" s="15" t="s">
        <v>41</v>
      </c>
      <c r="C15" s="15">
        <v>5138</v>
      </c>
      <c r="D15" s="15">
        <v>8271</v>
      </c>
      <c r="E15" s="15">
        <v>6143</v>
      </c>
      <c r="F15" s="15">
        <v>7909</v>
      </c>
      <c r="G15" s="15">
        <v>7332</v>
      </c>
      <c r="H15" s="15">
        <v>4522</v>
      </c>
      <c r="I15" s="15"/>
      <c r="J15" s="15"/>
      <c r="K15" s="15"/>
      <c r="L15" s="15"/>
      <c r="M15" s="15"/>
      <c r="N15" s="15"/>
      <c r="O15" s="15"/>
    </row>
    <row r="16" ht="15.6" customHeight="1" spans="1:15">
      <c r="A16" s="6"/>
      <c r="B16" s="2" t="s">
        <v>42</v>
      </c>
      <c r="C16" s="10">
        <f t="shared" ref="C16:N16" si="2">IFERROR(C15/C14,0)</f>
        <v>0.893133981814642</v>
      </c>
      <c r="D16" s="10">
        <f t="shared" si="2"/>
        <v>1.16917814028441</v>
      </c>
      <c r="E16" s="10">
        <f t="shared" si="2"/>
        <v>0.862538612749228</v>
      </c>
      <c r="F16" s="10">
        <f t="shared" si="2"/>
        <v>1.08889898530971</v>
      </c>
      <c r="G16" s="10">
        <f t="shared" si="2"/>
        <v>0.964863797868141</v>
      </c>
      <c r="H16" s="10">
        <f t="shared" si="2"/>
        <v>0.638944230144264</v>
      </c>
      <c r="I16" s="10">
        <f t="shared" si="2"/>
        <v>0</v>
      </c>
      <c r="J16" s="10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0"/>
    </row>
    <row r="17" ht="15.6" customHeight="1" spans="1:15">
      <c r="A17" s="6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30"/>
    </row>
    <row r="18" ht="15.6" customHeight="1" spans="1:15">
      <c r="A18" s="6"/>
      <c r="B18" s="21" t="s">
        <v>43</v>
      </c>
      <c r="C18" s="21">
        <f>[3]林梓蕾!B4</f>
        <v>66868745</v>
      </c>
      <c r="D18" s="21">
        <f>[3]林梓蕾!C4</f>
        <v>95061500</v>
      </c>
      <c r="E18" s="21">
        <f>[3]林梓蕾!D4</f>
        <v>95460000</v>
      </c>
      <c r="F18" s="21">
        <f>[3]林梓蕾!E4</f>
        <v>97355500</v>
      </c>
      <c r="G18" s="21">
        <f>[3]林梓蕾!F4</f>
        <v>101805000</v>
      </c>
      <c r="H18" s="21">
        <f>[3]林梓蕾!G4</f>
        <v>94906500</v>
      </c>
      <c r="I18" s="21">
        <f>[3]林梓蕾!H4</f>
        <v>118861750</v>
      </c>
      <c r="J18" s="21">
        <f>[3]林梓蕾!I4</f>
        <v>115027500</v>
      </c>
      <c r="K18" s="21">
        <f>[3]林梓蕾!J4</f>
        <v>116870000</v>
      </c>
      <c r="L18" s="21">
        <f>[3]林梓蕾!K4</f>
        <v>113100000</v>
      </c>
      <c r="M18" s="21">
        <f>[3]林梓蕾!L4</f>
        <v>116870000</v>
      </c>
      <c r="N18" s="21">
        <f>[3]林梓蕾!M4</f>
        <v>84428500</v>
      </c>
      <c r="O18" s="33">
        <f>SUM(C18:N18)</f>
        <v>1216614995</v>
      </c>
    </row>
    <row r="19" ht="15.6" customHeight="1" spans="1:15">
      <c r="A19" s="6"/>
      <c r="B19" s="22" t="s">
        <v>44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ht="15.6" customHeight="1" spans="1:15">
      <c r="A20" s="6"/>
      <c r="B20" s="2" t="s">
        <v>45</v>
      </c>
      <c r="C20" s="10">
        <f t="shared" ref="C20:N20" si="3">IFERROR(C19/C18,0)</f>
        <v>0</v>
      </c>
      <c r="D20" s="10">
        <f t="shared" si="3"/>
        <v>0</v>
      </c>
      <c r="E20" s="10">
        <f t="shared" si="3"/>
        <v>0</v>
      </c>
      <c r="F20" s="10">
        <f t="shared" si="3"/>
        <v>0</v>
      </c>
      <c r="G20" s="10">
        <f t="shared" si="3"/>
        <v>0</v>
      </c>
      <c r="H20" s="10">
        <f t="shared" si="3"/>
        <v>0</v>
      </c>
      <c r="I20" s="10">
        <f t="shared" si="3"/>
        <v>0</v>
      </c>
      <c r="J20" s="10">
        <f t="shared" si="3"/>
        <v>0</v>
      </c>
      <c r="K20" s="10">
        <f t="shared" si="3"/>
        <v>0</v>
      </c>
      <c r="L20" s="10">
        <f t="shared" si="3"/>
        <v>0</v>
      </c>
      <c r="M20" s="10">
        <f t="shared" si="3"/>
        <v>0</v>
      </c>
      <c r="N20" s="10">
        <f t="shared" si="3"/>
        <v>0</v>
      </c>
      <c r="O20" s="10"/>
    </row>
    <row r="21" ht="15.6" customHeight="1" spans="1:15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0"/>
    </row>
    <row r="22" ht="15.6" customHeight="1" spans="1:15">
      <c r="A22" s="6"/>
      <c r="B22" s="2" t="s">
        <v>46</v>
      </c>
      <c r="C22" s="23">
        <f>[3]林梓蕾!B5/12.5</f>
        <v>1739255.392</v>
      </c>
      <c r="D22" s="23">
        <f>[3]林梓蕾!C5/12.5</f>
        <v>2378022.4</v>
      </c>
      <c r="E22" s="23">
        <f>[3]林梓蕾!D5/12.5</f>
        <v>2386200</v>
      </c>
      <c r="F22" s="23">
        <f>[3]林梓蕾!E5/12.5</f>
        <v>2433834.8</v>
      </c>
      <c r="G22" s="23">
        <f>[3]林梓蕾!F5/12.5</f>
        <v>2547732</v>
      </c>
      <c r="H22" s="23">
        <f>[3]林梓蕾!G5/12.5</f>
        <v>2375257.2</v>
      </c>
      <c r="I22" s="23">
        <f>[3]林梓蕾!H5/12.5</f>
        <v>2975820.2</v>
      </c>
      <c r="J22" s="23">
        <f>[3]林梓蕾!I5/12.5</f>
        <v>2879826</v>
      </c>
      <c r="K22" s="23">
        <f>[3]林梓蕾!J5/12.5</f>
        <v>2925346</v>
      </c>
      <c r="L22" s="23">
        <f>[3]林梓蕾!K5/12.5</f>
        <v>2830980</v>
      </c>
      <c r="M22" s="23">
        <f>[3]林梓蕾!L5/12.5</f>
        <v>2925346</v>
      </c>
      <c r="N22" s="23">
        <f>[3]林梓蕾!M5/12.5</f>
        <v>2112166.4</v>
      </c>
      <c r="O22" s="29">
        <f>SUM(C22:N22)</f>
        <v>30509786.392</v>
      </c>
    </row>
    <row r="23" ht="15.6" customHeight="1" spans="1:15">
      <c r="A23" s="6"/>
      <c r="B23" s="15" t="s">
        <v>47</v>
      </c>
      <c r="C23" s="24">
        <v>1656651.79</v>
      </c>
      <c r="D23" s="24">
        <v>2992837.86</v>
      </c>
      <c r="E23" s="24">
        <v>2223645.31</v>
      </c>
      <c r="F23" s="24">
        <v>3037284.01</v>
      </c>
      <c r="G23" s="24">
        <v>2987711.79</v>
      </c>
      <c r="H23" s="24">
        <v>1699079.69</v>
      </c>
      <c r="I23" s="24"/>
      <c r="J23" s="24"/>
      <c r="K23" s="24"/>
      <c r="L23" s="24"/>
      <c r="M23" s="24"/>
      <c r="N23" s="24"/>
      <c r="O23" s="16"/>
    </row>
    <row r="24" ht="15.6" customHeight="1" spans="1:15">
      <c r="A24" s="6"/>
      <c r="B24" s="2" t="s">
        <v>48</v>
      </c>
      <c r="C24" s="10">
        <f t="shared" ref="C24:N24" si="4">IFERROR(C23/C22,0)</f>
        <v>0.952506341288376</v>
      </c>
      <c r="D24" s="10">
        <f t="shared" si="4"/>
        <v>1.25854065125711</v>
      </c>
      <c r="E24" s="10">
        <f t="shared" si="4"/>
        <v>0.931877172910904</v>
      </c>
      <c r="F24" s="10">
        <f t="shared" si="4"/>
        <v>1.24794172965232</v>
      </c>
      <c r="G24" s="10">
        <f t="shared" si="4"/>
        <v>1.17269469080735</v>
      </c>
      <c r="H24" s="10">
        <f t="shared" si="4"/>
        <v>0.715324508857399</v>
      </c>
      <c r="I24" s="10">
        <f t="shared" si="4"/>
        <v>0</v>
      </c>
      <c r="J24" s="10">
        <f t="shared" si="4"/>
        <v>0</v>
      </c>
      <c r="K24" s="10">
        <f t="shared" si="4"/>
        <v>0</v>
      </c>
      <c r="L24" s="10">
        <f t="shared" si="4"/>
        <v>0</v>
      </c>
      <c r="M24" s="10">
        <f t="shared" si="4"/>
        <v>0</v>
      </c>
      <c r="N24" s="10">
        <f t="shared" si="4"/>
        <v>0</v>
      </c>
      <c r="O24" s="10"/>
    </row>
    <row r="25" ht="15.6" customHeight="1" spans="1:15">
      <c r="A25" s="6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30"/>
    </row>
    <row r="26" ht="15.6" customHeight="1" spans="1:15">
      <c r="A26" s="6"/>
      <c r="B26" s="2" t="s">
        <v>49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15.6" customHeight="1" spans="1:15">
      <c r="A27" s="6"/>
      <c r="B27" s="2" t="s">
        <v>50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ht="15.6" customHeight="1" spans="1:15">
      <c r="A28" s="6"/>
      <c r="B28" s="2" t="s">
        <v>0</v>
      </c>
      <c r="C28" s="17">
        <f t="shared" ref="C28:N28" si="5">IFERROR(C7/C23,0)</f>
        <v>0.161489482349215</v>
      </c>
      <c r="D28" s="17">
        <f t="shared" si="5"/>
        <v>0.234894358760885</v>
      </c>
      <c r="E28" s="17">
        <f t="shared" si="5"/>
        <v>0.196433719908325</v>
      </c>
      <c r="F28" s="17">
        <f t="shared" si="5"/>
        <v>0.177138831346891</v>
      </c>
      <c r="G28" s="17">
        <f t="shared" si="5"/>
        <v>0.208851222560527</v>
      </c>
      <c r="H28" s="17">
        <f t="shared" si="5"/>
        <v>0.209133810551287</v>
      </c>
      <c r="I28" s="17">
        <f t="shared" si="5"/>
        <v>0</v>
      </c>
      <c r="J28" s="17">
        <f t="shared" si="5"/>
        <v>0</v>
      </c>
      <c r="K28" s="17">
        <f t="shared" si="5"/>
        <v>0</v>
      </c>
      <c r="L28" s="17">
        <f t="shared" si="5"/>
        <v>0</v>
      </c>
      <c r="M28" s="17">
        <f t="shared" si="5"/>
        <v>0</v>
      </c>
      <c r="N28" s="17">
        <f t="shared" si="5"/>
        <v>0</v>
      </c>
      <c r="O28" s="17"/>
    </row>
    <row r="29" ht="15.6" customHeight="1" spans="1:15">
      <c r="A29" s="9"/>
      <c r="B29" s="18" t="s">
        <v>1</v>
      </c>
      <c r="C29" s="19">
        <f>SUM(C6:N6)</f>
        <v>5397380.4067623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30"/>
    </row>
    <row r="30" spans="2:3">
      <c r="B30" t="s">
        <v>2</v>
      </c>
      <c r="C30">
        <f>SUM(C7:N7)</f>
        <v>2924674.7</v>
      </c>
    </row>
    <row r="31" spans="2:3">
      <c r="B31" t="s">
        <v>3</v>
      </c>
      <c r="C31">
        <f>IFERROR(C30/C29,0)</f>
        <v>0.541869292061705</v>
      </c>
    </row>
    <row r="33" spans="2:3">
      <c r="B33" t="s">
        <v>4</v>
      </c>
      <c r="C33">
        <f>SUM(C22:N22)</f>
        <v>30509786.392</v>
      </c>
    </row>
    <row r="34" spans="2:3">
      <c r="B34" t="s">
        <v>5</v>
      </c>
      <c r="C34">
        <f>SUM(C23:N23)</f>
        <v>14597210.45</v>
      </c>
    </row>
    <row r="35" spans="2:3">
      <c r="B35" t="s">
        <v>6</v>
      </c>
      <c r="C35">
        <f>IFERROR(C34/C33,0)</f>
        <v>0.478443547996375</v>
      </c>
    </row>
    <row r="37" spans="2:3">
      <c r="B37" t="s">
        <v>7</v>
      </c>
      <c r="C37" t="s">
        <v>8</v>
      </c>
    </row>
    <row r="39" spans="2:3">
      <c r="B39" t="s">
        <v>9</v>
      </c>
      <c r="C39">
        <f>IFERROR(C30/C34,0)</f>
        <v>0.20035846643562</v>
      </c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D10" sqref="C10:D10"/>
    </sheetView>
  </sheetViews>
  <sheetFormatPr defaultColWidth="8.88888888888889" defaultRowHeight="14.4"/>
  <cols>
    <col min="1" max="1" width="14.1111111111111" style="1" customWidth="1"/>
    <col min="2" max="2" width="20.8888888888889" style="1" customWidth="1"/>
    <col min="3" max="3" width="15.5555555555556" style="1" customWidth="1"/>
    <col min="4" max="4" width="17.4444444444444" style="1" customWidth="1"/>
    <col min="5" max="7" width="15.5555555555556" style="1" customWidth="1"/>
    <col min="8" max="8" width="14.4444444444444" style="1" customWidth="1"/>
    <col min="9" max="14" width="16.4444444444444" style="1" customWidth="1"/>
    <col min="15" max="15" width="17.4444444444444" style="1" customWidth="1"/>
  </cols>
  <sheetData>
    <row r="1" ht="15.6" customHeight="1" spans="1:15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</row>
    <row r="2" ht="15.6" customHeight="1" spans="1:15">
      <c r="A2" s="2" t="s">
        <v>11</v>
      </c>
      <c r="B2" s="2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25" t="s">
        <v>19</v>
      </c>
      <c r="J2" s="25" t="s">
        <v>20</v>
      </c>
      <c r="K2" s="25" t="s">
        <v>21</v>
      </c>
      <c r="L2" s="26" t="s">
        <v>22</v>
      </c>
      <c r="M2" s="26" t="s">
        <v>23</v>
      </c>
      <c r="N2" s="26" t="s">
        <v>24</v>
      </c>
      <c r="O2" s="2" t="s">
        <v>25</v>
      </c>
    </row>
    <row r="3" ht="15.6" customHeight="1" spans="1:15">
      <c r="A3" s="6"/>
      <c r="B3" s="2" t="s">
        <v>26</v>
      </c>
      <c r="C3" s="4" t="s">
        <v>27</v>
      </c>
      <c r="D3" s="3"/>
      <c r="E3" s="7"/>
      <c r="F3" s="5" t="s">
        <v>28</v>
      </c>
      <c r="G3" s="3"/>
      <c r="H3" s="7"/>
      <c r="I3" s="25" t="s">
        <v>29</v>
      </c>
      <c r="J3" s="3"/>
      <c r="K3" s="7"/>
      <c r="L3" s="26" t="s">
        <v>30</v>
      </c>
      <c r="M3" s="3"/>
      <c r="N3" s="7"/>
      <c r="O3" s="6"/>
    </row>
    <row r="4" ht="15.6" customHeight="1" spans="1:15">
      <c r="A4" s="6"/>
      <c r="B4" s="2" t="s">
        <v>31</v>
      </c>
      <c r="C4" s="8">
        <f>(C7+D7+E7)</f>
        <v>34815.39</v>
      </c>
      <c r="D4" s="3"/>
      <c r="E4" s="7"/>
      <c r="F4" s="5">
        <f>(F7+G7+H7)</f>
        <v>109006.91</v>
      </c>
      <c r="G4" s="3"/>
      <c r="H4" s="7"/>
      <c r="I4" s="25">
        <f>(I7+J7+K7)</f>
        <v>0</v>
      </c>
      <c r="J4" s="3"/>
      <c r="K4" s="7"/>
      <c r="L4" s="26">
        <f>(L7+M7+N7)</f>
        <v>0</v>
      </c>
      <c r="M4" s="3"/>
      <c r="N4" s="7"/>
      <c r="O4" s="6"/>
    </row>
    <row r="5" ht="15.6" customHeight="1" spans="1:15">
      <c r="A5" s="9"/>
      <c r="B5" s="10" t="s">
        <v>32</v>
      </c>
      <c r="C5" s="11">
        <f>(C7+D7+E7)/(C6+D6+E6)</f>
        <v>0.136409427824785</v>
      </c>
      <c r="D5" s="3"/>
      <c r="E5" s="7"/>
      <c r="F5" s="12">
        <f>(F7+G7+H7)/(F6+G6+H6)</f>
        <v>0.221449199412657</v>
      </c>
      <c r="G5" s="3"/>
      <c r="H5" s="7"/>
      <c r="I5" s="27">
        <f>(I7+J7+K7)/(I6+J6+K6)</f>
        <v>0</v>
      </c>
      <c r="J5" s="3"/>
      <c r="K5" s="7"/>
      <c r="L5" s="28">
        <f>(L7+M7+N7)/(L6+M6+N6)</f>
        <v>0</v>
      </c>
      <c r="M5" s="3"/>
      <c r="N5" s="7"/>
      <c r="O5" s="9"/>
    </row>
    <row r="6" ht="31.2" customHeight="1" spans="1:15">
      <c r="A6" s="2" t="s">
        <v>33</v>
      </c>
      <c r="B6" s="13" t="s">
        <v>34</v>
      </c>
      <c r="C6" s="14">
        <f>[3]总目标!B70</f>
        <v>34481</v>
      </c>
      <c r="D6" s="14">
        <f>[3]总目标!C70</f>
        <v>86791.2971311476</v>
      </c>
      <c r="E6" s="14">
        <f>[3]总目标!D70</f>
        <v>133954.856557377</v>
      </c>
      <c r="F6" s="14">
        <f>[3]总目标!E70</f>
        <v>141243.464139344</v>
      </c>
      <c r="G6" s="14">
        <f>[3]总目标!F70</f>
        <v>195306.823770492</v>
      </c>
      <c r="H6" s="14">
        <f>[3]总目标!G70</f>
        <v>155693.126331967</v>
      </c>
      <c r="I6" s="14">
        <f>[3]总目标!H70</f>
        <v>213216.284836066</v>
      </c>
      <c r="J6" s="14">
        <f>[3]总目标!I70</f>
        <v>206338.340163934</v>
      </c>
      <c r="K6" s="14">
        <f>[3]总目标!J70</f>
        <v>195186.830942623</v>
      </c>
      <c r="L6" s="14">
        <f>[3]总目标!K70</f>
        <v>187961.834016393</v>
      </c>
      <c r="M6" s="14">
        <f>[3]总目标!L70</f>
        <v>195186.830942623</v>
      </c>
      <c r="N6" s="14">
        <f>[3]总目标!M70</f>
        <v>98770.5102459016</v>
      </c>
      <c r="O6" s="29">
        <f>SUM(C6:N6)</f>
        <v>1844131.19907787</v>
      </c>
    </row>
    <row r="7" ht="15.6" customHeight="1" spans="1:15">
      <c r="A7" s="6"/>
      <c r="B7" s="15" t="s">
        <v>35</v>
      </c>
      <c r="C7" s="16">
        <v>13090.83</v>
      </c>
      <c r="D7" s="16">
        <v>32141.5</v>
      </c>
      <c r="E7" s="16">
        <v>-10416.94</v>
      </c>
      <c r="F7" s="16">
        <v>35782.44</v>
      </c>
      <c r="G7" s="16">
        <v>37364.36</v>
      </c>
      <c r="H7" s="16">
        <v>35860.11</v>
      </c>
      <c r="I7" s="16"/>
      <c r="J7" s="16"/>
      <c r="K7" s="16"/>
      <c r="L7" s="16"/>
      <c r="M7" s="16"/>
      <c r="N7" s="16"/>
      <c r="O7" s="16">
        <f>SUM(C7:N7)</f>
        <v>143822.3</v>
      </c>
    </row>
    <row r="8" ht="15.6" customHeight="1" spans="1:15">
      <c r="A8" s="6"/>
      <c r="B8" s="2" t="s">
        <v>36</v>
      </c>
      <c r="C8" s="17">
        <f t="shared" ref="C8:N8" si="0">IFERROR(C7/C6,0)</f>
        <v>0.379653432325049</v>
      </c>
      <c r="D8" s="17">
        <f t="shared" si="0"/>
        <v>0.370330909462408</v>
      </c>
      <c r="E8" s="17">
        <f t="shared" si="0"/>
        <v>-0.0777645564163484</v>
      </c>
      <c r="F8" s="17">
        <f t="shared" si="0"/>
        <v>0.253338731232893</v>
      </c>
      <c r="G8" s="17">
        <f t="shared" si="0"/>
        <v>0.19131108313915</v>
      </c>
      <c r="H8" s="17">
        <f t="shared" si="0"/>
        <v>0.230325582412286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>O7/O6</f>
        <v>0.0779891908297611</v>
      </c>
    </row>
    <row r="9" ht="15.6" customHeight="1" spans="1:15">
      <c r="A9" s="6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0"/>
    </row>
    <row r="10" ht="15.6" customHeight="1" spans="1:15">
      <c r="A10" s="6"/>
      <c r="B10" s="2" t="s">
        <v>37</v>
      </c>
      <c r="C10" s="20">
        <f>[3]包家豪!B7</f>
        <v>12430</v>
      </c>
      <c r="D10" s="20">
        <f>[3]包家豪!C7</f>
        <v>8990</v>
      </c>
      <c r="E10" s="20">
        <f>[3]包家豪!D7</f>
        <v>8400</v>
      </c>
      <c r="F10" s="20">
        <f>[3]包家豪!E7</f>
        <v>8680</v>
      </c>
      <c r="G10" s="20">
        <f>[3]包家豪!F7</f>
        <v>12060</v>
      </c>
      <c r="H10" s="20">
        <f>[3]包家豪!G7</f>
        <v>10323</v>
      </c>
      <c r="I10" s="20">
        <f>[3]包家豪!H7</f>
        <v>12958</v>
      </c>
      <c r="J10" s="20">
        <f>[3]包家豪!I7</f>
        <v>12540</v>
      </c>
      <c r="K10" s="20">
        <f>[3]包家豪!J7</f>
        <v>12090</v>
      </c>
      <c r="L10" s="20">
        <f>[3]包家豪!K7</f>
        <v>11640</v>
      </c>
      <c r="M10" s="20">
        <f>[3]包家豪!L7</f>
        <v>12090</v>
      </c>
      <c r="N10" s="20">
        <f>[3]包家豪!M7</f>
        <v>6696</v>
      </c>
      <c r="O10" s="31">
        <f>SUM(C10:N10)</f>
        <v>128897</v>
      </c>
    </row>
    <row r="11" ht="15.6" customHeight="1" spans="1:15">
      <c r="A11" s="6"/>
      <c r="B11" s="15" t="s">
        <v>38</v>
      </c>
      <c r="C11" s="15">
        <v>12426</v>
      </c>
      <c r="D11" s="15">
        <v>14767</v>
      </c>
      <c r="E11" s="15">
        <v>8963</v>
      </c>
      <c r="F11" s="15">
        <v>9817</v>
      </c>
      <c r="G11" s="15">
        <v>6783</v>
      </c>
      <c r="H11" s="15">
        <v>3389</v>
      </c>
      <c r="I11" s="15"/>
      <c r="J11" s="15"/>
      <c r="K11" s="15"/>
      <c r="L11" s="15"/>
      <c r="M11" s="15"/>
      <c r="N11" s="15"/>
      <c r="O11" s="15"/>
    </row>
    <row r="12" ht="15.6" customHeight="1" spans="1:15">
      <c r="A12" s="6"/>
      <c r="B12" s="2" t="s">
        <v>39</v>
      </c>
      <c r="C12" s="10">
        <f t="shared" ref="C12:N12" si="1">IFERROR(C11/C10,0)</f>
        <v>0.999678197908286</v>
      </c>
      <c r="D12" s="10">
        <f t="shared" si="1"/>
        <v>1.64260289210234</v>
      </c>
      <c r="E12" s="10">
        <f t="shared" si="1"/>
        <v>1.06702380952381</v>
      </c>
      <c r="F12" s="10">
        <f t="shared" si="1"/>
        <v>1.13099078341014</v>
      </c>
      <c r="G12" s="10">
        <f t="shared" si="1"/>
        <v>0.562437810945274</v>
      </c>
      <c r="H12" s="10">
        <f t="shared" si="1"/>
        <v>0.328296037973457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0"/>
    </row>
    <row r="13" ht="15.6" customHeight="1" spans="1:15">
      <c r="A13" s="6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30"/>
    </row>
    <row r="14" ht="15.6" customHeight="1" spans="1:15">
      <c r="A14" s="6"/>
      <c r="B14" s="2" t="s">
        <v>40</v>
      </c>
      <c r="C14" s="20">
        <f>[3]包家豪!B8</f>
        <v>3858</v>
      </c>
      <c r="D14" s="20">
        <f>[3]包家豪!C8</f>
        <v>2869.05</v>
      </c>
      <c r="E14" s="20">
        <f>[3]包家豪!D8</f>
        <v>2679</v>
      </c>
      <c r="F14" s="20">
        <f>[3]包家豪!E8</f>
        <v>2768.3</v>
      </c>
      <c r="G14" s="20">
        <f>[3]包家豪!F8</f>
        <v>3850.5</v>
      </c>
      <c r="H14" s="20">
        <f>[3]包家豪!G8</f>
        <v>3292.045</v>
      </c>
      <c r="I14" s="20">
        <f>[3]包家豪!H8</f>
        <v>4135.4</v>
      </c>
      <c r="J14" s="20">
        <f>[3]包家豪!I8</f>
        <v>4002</v>
      </c>
      <c r="K14" s="20">
        <f>[3]包家豪!J8</f>
        <v>3857.95</v>
      </c>
      <c r="L14" s="20">
        <f>[3]包家豪!K8</f>
        <v>3714</v>
      </c>
      <c r="M14" s="20">
        <f>[3]包家豪!L8</f>
        <v>3857.95</v>
      </c>
      <c r="N14" s="20">
        <f>[3]包家豪!M8</f>
        <v>2135.9</v>
      </c>
      <c r="O14" s="32">
        <f>SUM(C14:N14)</f>
        <v>41020.095</v>
      </c>
    </row>
    <row r="15" ht="15.6" customHeight="1" spans="1:15">
      <c r="A15" s="6"/>
      <c r="B15" s="15" t="s">
        <v>41</v>
      </c>
      <c r="C15" s="15">
        <v>3749</v>
      </c>
      <c r="D15" s="15">
        <v>4411</v>
      </c>
      <c r="E15" s="15">
        <v>2822</v>
      </c>
      <c r="F15" s="15">
        <v>2816</v>
      </c>
      <c r="G15" s="15">
        <v>1899</v>
      </c>
      <c r="H15" s="15">
        <v>993</v>
      </c>
      <c r="I15" s="15"/>
      <c r="J15" s="15"/>
      <c r="K15" s="15"/>
      <c r="L15" s="15"/>
      <c r="M15" s="15"/>
      <c r="N15" s="15"/>
      <c r="O15" s="15"/>
    </row>
    <row r="16" ht="15.6" customHeight="1" spans="1:15">
      <c r="A16" s="6"/>
      <c r="B16" s="2" t="s">
        <v>42</v>
      </c>
      <c r="C16" s="10">
        <f t="shared" ref="C16:N16" si="2">IFERROR(C15/C14,0)</f>
        <v>0.971747019180923</v>
      </c>
      <c r="D16" s="10">
        <f t="shared" si="2"/>
        <v>1.53744270751643</v>
      </c>
      <c r="E16" s="10">
        <f t="shared" si="2"/>
        <v>1.05337812616648</v>
      </c>
      <c r="F16" s="10">
        <f t="shared" si="2"/>
        <v>1.01723079146046</v>
      </c>
      <c r="G16" s="10">
        <f t="shared" si="2"/>
        <v>0.493182703544994</v>
      </c>
      <c r="H16" s="10">
        <f t="shared" si="2"/>
        <v>0.301636217001894</v>
      </c>
      <c r="I16" s="10">
        <f t="shared" si="2"/>
        <v>0</v>
      </c>
      <c r="J16" s="10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0"/>
    </row>
    <row r="17" ht="15.6" customHeight="1" spans="1:15">
      <c r="A17" s="6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30"/>
    </row>
    <row r="18" ht="15.6" customHeight="1" spans="1:15">
      <c r="A18" s="6"/>
      <c r="B18" s="21" t="s">
        <v>43</v>
      </c>
      <c r="C18" s="21">
        <f>[3]包家豪!B4</f>
        <v>42401820</v>
      </c>
      <c r="D18" s="21">
        <f>[3]包家豪!C4</f>
        <v>37308500</v>
      </c>
      <c r="E18" s="21">
        <f>[3]包家豪!D4</f>
        <v>34860000</v>
      </c>
      <c r="F18" s="21">
        <f>[3]包家豪!E4</f>
        <v>36022000</v>
      </c>
      <c r="G18" s="21">
        <f>[3]包家豪!F4</f>
        <v>50049000</v>
      </c>
      <c r="H18" s="21">
        <f>[3]包家豪!G4</f>
        <v>42840450</v>
      </c>
      <c r="I18" s="21">
        <f>[3]包家豪!H4</f>
        <v>53775700</v>
      </c>
      <c r="J18" s="21">
        <f>[3]包家豪!I4</f>
        <v>52041000</v>
      </c>
      <c r="K18" s="21">
        <f>[3]包家豪!J4</f>
        <v>50173500</v>
      </c>
      <c r="L18" s="21">
        <f>[3]包家豪!K4</f>
        <v>48306000</v>
      </c>
      <c r="M18" s="21">
        <f>[3]包家豪!L4</f>
        <v>50173500</v>
      </c>
      <c r="N18" s="21">
        <f>[3]包家豪!M4</f>
        <v>27788400</v>
      </c>
      <c r="O18" s="33">
        <f>SUM(C18:N18)</f>
        <v>525739870</v>
      </c>
    </row>
    <row r="19" ht="15.6" customHeight="1" spans="1:15">
      <c r="A19" s="6"/>
      <c r="B19" s="22" t="s">
        <v>44</v>
      </c>
      <c r="C19" s="22">
        <v>42370824</v>
      </c>
      <c r="D19" s="22">
        <v>55967842</v>
      </c>
      <c r="E19" s="22">
        <v>37113630</v>
      </c>
      <c r="F19" s="22">
        <v>40778074</v>
      </c>
      <c r="G19" s="22">
        <v>27547226</v>
      </c>
      <c r="H19" s="22">
        <v>14189867</v>
      </c>
      <c r="I19" s="22"/>
      <c r="J19" s="22"/>
      <c r="K19" s="22"/>
      <c r="L19" s="22"/>
      <c r="M19" s="22"/>
      <c r="N19" s="22"/>
      <c r="O19" s="22"/>
    </row>
    <row r="20" ht="15.6" customHeight="1" spans="1:15">
      <c r="A20" s="6"/>
      <c r="B20" s="2" t="s">
        <v>45</v>
      </c>
      <c r="C20" s="10">
        <f t="shared" ref="C20:N20" si="3">IFERROR(C19/C18,0)</f>
        <v>0.999268993642254</v>
      </c>
      <c r="D20" s="10">
        <f t="shared" si="3"/>
        <v>1.50013648364314</v>
      </c>
      <c r="E20" s="10">
        <f t="shared" si="3"/>
        <v>1.06464802065404</v>
      </c>
      <c r="F20" s="10">
        <f t="shared" si="3"/>
        <v>1.13203248015102</v>
      </c>
      <c r="G20" s="10">
        <f t="shared" si="3"/>
        <v>0.55040512297948</v>
      </c>
      <c r="H20" s="10">
        <f t="shared" si="3"/>
        <v>0.331225909158284</v>
      </c>
      <c r="I20" s="10">
        <f t="shared" si="3"/>
        <v>0</v>
      </c>
      <c r="J20" s="10">
        <f t="shared" si="3"/>
        <v>0</v>
      </c>
      <c r="K20" s="10">
        <f t="shared" si="3"/>
        <v>0</v>
      </c>
      <c r="L20" s="10">
        <f t="shared" si="3"/>
        <v>0</v>
      </c>
      <c r="M20" s="10">
        <f t="shared" si="3"/>
        <v>0</v>
      </c>
      <c r="N20" s="10">
        <f t="shared" si="3"/>
        <v>0</v>
      </c>
      <c r="O20" s="10"/>
    </row>
    <row r="21" ht="15.6" customHeight="1" spans="1:15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0"/>
    </row>
    <row r="22" ht="15.6" customHeight="1" spans="1:15">
      <c r="A22" s="6"/>
      <c r="B22" s="2" t="s">
        <v>46</v>
      </c>
      <c r="C22" s="23">
        <f>[3]包家豪!B5/12.5</f>
        <v>1039144.32</v>
      </c>
      <c r="D22" s="23">
        <f>[3]包家豪!C5/12.5</f>
        <v>952524.6</v>
      </c>
      <c r="E22" s="23">
        <f>[3]包家豪!D5/12.5</f>
        <v>889428</v>
      </c>
      <c r="F22" s="23">
        <f>[3]包家豪!E5/12.5</f>
        <v>919075.6</v>
      </c>
      <c r="G22" s="23">
        <f>[3]包家豪!F5/12.5</f>
        <v>1278366</v>
      </c>
      <c r="H22" s="23">
        <f>[3]包家豪!G5/12.5</f>
        <v>1092958.94</v>
      </c>
      <c r="I22" s="23">
        <f>[3]包家豪!H5/12.5</f>
        <v>1372952.8</v>
      </c>
      <c r="J22" s="23">
        <f>[3]包家豪!I5/12.5</f>
        <v>1328664</v>
      </c>
      <c r="K22" s="23">
        <f>[3]包家豪!J5/12.5</f>
        <v>1280839.4</v>
      </c>
      <c r="L22" s="23">
        <f>[3]包家豪!K5/12.5</f>
        <v>1233048</v>
      </c>
      <c r="M22" s="23">
        <f>[3]包家豪!L5/12.5</f>
        <v>1280839.4</v>
      </c>
      <c r="N22" s="23">
        <f>[3]包家豪!M5/12.5</f>
        <v>709118.8</v>
      </c>
      <c r="O22" s="29">
        <f>SUM(C22:N22)</f>
        <v>13376959.86</v>
      </c>
    </row>
    <row r="23" ht="15.6" customHeight="1" spans="1:15">
      <c r="A23" s="6"/>
      <c r="B23" s="15" t="s">
        <v>47</v>
      </c>
      <c r="C23" s="24">
        <v>1144197.31</v>
      </c>
      <c r="D23" s="24">
        <v>1464434.91</v>
      </c>
      <c r="E23" s="24">
        <v>980312.1</v>
      </c>
      <c r="F23" s="24">
        <v>1046342.02</v>
      </c>
      <c r="G23" s="24">
        <v>735120.45</v>
      </c>
      <c r="H23" s="24">
        <v>357869.18</v>
      </c>
      <c r="I23" s="24"/>
      <c r="J23" s="24"/>
      <c r="K23" s="24"/>
      <c r="L23" s="24"/>
      <c r="M23" s="24"/>
      <c r="N23" s="24"/>
      <c r="O23" s="16"/>
    </row>
    <row r="24" ht="15.6" customHeight="1" spans="1:15">
      <c r="A24" s="6"/>
      <c r="B24" s="2" t="s">
        <v>48</v>
      </c>
      <c r="C24" s="10">
        <f t="shared" ref="C24:N24" si="4">IFERROR(C23/C22,0)</f>
        <v>1.10109566879026</v>
      </c>
      <c r="D24" s="10">
        <f t="shared" si="4"/>
        <v>1.53742476572259</v>
      </c>
      <c r="E24" s="10">
        <f t="shared" si="4"/>
        <v>1.10218263872961</v>
      </c>
      <c r="F24" s="10">
        <f t="shared" si="4"/>
        <v>1.13847219967541</v>
      </c>
      <c r="G24" s="10">
        <f t="shared" si="4"/>
        <v>0.575046934915353</v>
      </c>
      <c r="H24" s="10">
        <f t="shared" si="4"/>
        <v>0.327431495276483</v>
      </c>
      <c r="I24" s="10">
        <f t="shared" si="4"/>
        <v>0</v>
      </c>
      <c r="J24" s="10">
        <f t="shared" si="4"/>
        <v>0</v>
      </c>
      <c r="K24" s="10">
        <f t="shared" si="4"/>
        <v>0</v>
      </c>
      <c r="L24" s="10">
        <f t="shared" si="4"/>
        <v>0</v>
      </c>
      <c r="M24" s="10">
        <f t="shared" si="4"/>
        <v>0</v>
      </c>
      <c r="N24" s="10">
        <f t="shared" si="4"/>
        <v>0</v>
      </c>
      <c r="O24" s="10"/>
    </row>
    <row r="25" ht="15.6" customHeight="1" spans="1:15">
      <c r="A25" s="6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30"/>
    </row>
    <row r="26" ht="15.6" customHeight="1" spans="1:15">
      <c r="A26" s="6"/>
      <c r="B26" s="2" t="s">
        <v>49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15.6" customHeight="1" spans="1:15">
      <c r="A27" s="6"/>
      <c r="B27" s="2" t="s">
        <v>50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ht="15.6" customHeight="1" spans="1:15">
      <c r="A28" s="6"/>
      <c r="B28" s="2" t="s">
        <v>0</v>
      </c>
      <c r="C28" s="17">
        <f t="shared" ref="C28:N28" si="5">IFERROR(C7/C23,0)</f>
        <v>0.0114410599339724</v>
      </c>
      <c r="D28" s="17">
        <f t="shared" si="5"/>
        <v>0.0219480564008133</v>
      </c>
      <c r="E28" s="17">
        <f t="shared" si="5"/>
        <v>-0.0106261465098717</v>
      </c>
      <c r="F28" s="17">
        <f t="shared" si="5"/>
        <v>0.0341976517391512</v>
      </c>
      <c r="G28" s="17">
        <f t="shared" si="5"/>
        <v>0.0508275344537076</v>
      </c>
      <c r="H28" s="17">
        <f t="shared" si="5"/>
        <v>0.100204521663475</v>
      </c>
      <c r="I28" s="17">
        <f t="shared" si="5"/>
        <v>0</v>
      </c>
      <c r="J28" s="17">
        <f t="shared" si="5"/>
        <v>0</v>
      </c>
      <c r="K28" s="17">
        <f t="shared" si="5"/>
        <v>0</v>
      </c>
      <c r="L28" s="17">
        <f t="shared" si="5"/>
        <v>0</v>
      </c>
      <c r="M28" s="17">
        <f t="shared" si="5"/>
        <v>0</v>
      </c>
      <c r="N28" s="17">
        <f t="shared" si="5"/>
        <v>0</v>
      </c>
      <c r="O28" s="17"/>
    </row>
    <row r="29" ht="15.6" customHeight="1" spans="1:15">
      <c r="A29" s="9"/>
      <c r="B29" s="18" t="s">
        <v>1</v>
      </c>
      <c r="C29" s="19">
        <f>SUM(C6:N6)</f>
        <v>1844131.19907787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30"/>
    </row>
    <row r="30" spans="2:3">
      <c r="B30" t="s">
        <v>2</v>
      </c>
      <c r="C30">
        <f>SUM(C7:N7)</f>
        <v>143822.3</v>
      </c>
    </row>
    <row r="31" spans="2:3">
      <c r="B31" t="s">
        <v>3</v>
      </c>
      <c r="C31">
        <f>IFERROR(C30/C29,0)</f>
        <v>0.0779891908297611</v>
      </c>
    </row>
    <row r="33" spans="2:3">
      <c r="B33" t="s">
        <v>4</v>
      </c>
      <c r="C33">
        <f>SUM(C22:N22)</f>
        <v>13376959.86</v>
      </c>
    </row>
    <row r="34" spans="2:3">
      <c r="B34" t="s">
        <v>5</v>
      </c>
      <c r="C34">
        <f>SUM(C23:N23)</f>
        <v>5728275.97</v>
      </c>
    </row>
    <row r="35" spans="2:3">
      <c r="B35" t="s">
        <v>6</v>
      </c>
      <c r="C35">
        <f>IFERROR(C34/C33,0)</f>
        <v>0.428219567820397</v>
      </c>
    </row>
    <row r="37" spans="2:3">
      <c r="B37" t="s">
        <v>7</v>
      </c>
      <c r="C37" t="s">
        <v>8</v>
      </c>
    </row>
    <row r="39" spans="2:3">
      <c r="B39" t="s">
        <v>9</v>
      </c>
      <c r="C39">
        <f>IFERROR(C30/C34,0)</f>
        <v>0.0251074321057894</v>
      </c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F36" sqref="F36"/>
    </sheetView>
  </sheetViews>
  <sheetFormatPr defaultColWidth="16.4444444444444" defaultRowHeight="14.4"/>
  <cols>
    <col min="1" max="16384" width="16.4444444444444" style="1" customWidth="1"/>
  </cols>
  <sheetData>
    <row r="1" ht="15.6" customHeight="1" spans="1:15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</row>
    <row r="2" ht="15.6" customHeight="1" spans="1:15">
      <c r="A2" s="2" t="s">
        <v>11</v>
      </c>
      <c r="B2" s="2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25" t="s">
        <v>19</v>
      </c>
      <c r="J2" s="25" t="s">
        <v>20</v>
      </c>
      <c r="K2" s="25" t="s">
        <v>21</v>
      </c>
      <c r="L2" s="26" t="s">
        <v>22</v>
      </c>
      <c r="M2" s="26" t="s">
        <v>23</v>
      </c>
      <c r="N2" s="26" t="s">
        <v>24</v>
      </c>
      <c r="O2" s="2" t="s">
        <v>25</v>
      </c>
    </row>
    <row r="3" ht="15.6" customHeight="1" spans="1:15">
      <c r="A3" s="6"/>
      <c r="B3" s="2" t="s">
        <v>26</v>
      </c>
      <c r="C3" s="4" t="s">
        <v>27</v>
      </c>
      <c r="D3" s="3"/>
      <c r="E3" s="7"/>
      <c r="F3" s="5" t="s">
        <v>28</v>
      </c>
      <c r="G3" s="3"/>
      <c r="H3" s="7"/>
      <c r="I3" s="25" t="s">
        <v>29</v>
      </c>
      <c r="J3" s="3"/>
      <c r="K3" s="7"/>
      <c r="L3" s="26" t="s">
        <v>30</v>
      </c>
      <c r="M3" s="3"/>
      <c r="N3" s="7"/>
      <c r="O3" s="6"/>
    </row>
    <row r="4" ht="15.6" customHeight="1" spans="1:15">
      <c r="A4" s="6"/>
      <c r="B4" s="2" t="s">
        <v>31</v>
      </c>
      <c r="C4" s="8">
        <f>(C7+D7+E7)</f>
        <v>1023552.79</v>
      </c>
      <c r="D4" s="3"/>
      <c r="E4" s="7"/>
      <c r="F4" s="5">
        <f>(F7+G7+H7)</f>
        <v>483136.1</v>
      </c>
      <c r="G4" s="3"/>
      <c r="H4" s="7"/>
      <c r="I4" s="25">
        <f>(I7+J7+K7)</f>
        <v>0</v>
      </c>
      <c r="J4" s="3"/>
      <c r="K4" s="7"/>
      <c r="L4" s="26">
        <f>(L7+M7+N7)</f>
        <v>0</v>
      </c>
      <c r="M4" s="3"/>
      <c r="N4" s="7"/>
      <c r="O4" s="6"/>
    </row>
    <row r="5" ht="15.6" customHeight="1" spans="1:15">
      <c r="A5" s="9"/>
      <c r="B5" s="10" t="s">
        <v>32</v>
      </c>
      <c r="C5" s="11">
        <f>(C7+D7+E7)/(C6+D6+E6)</f>
        <v>0.903991889678007</v>
      </c>
      <c r="D5" s="3"/>
      <c r="E5" s="7"/>
      <c r="F5" s="12">
        <f>(F7+G7+H7)/(F6+G6+H6)</f>
        <v>0.445523784325584</v>
      </c>
      <c r="G5" s="3"/>
      <c r="H5" s="7"/>
      <c r="I5" s="27">
        <f>(I7+J7+K7)/(I6+J6+K6)</f>
        <v>0</v>
      </c>
      <c r="J5" s="3"/>
      <c r="K5" s="7"/>
      <c r="L5" s="28">
        <f>(L7+M7+N7)/(L6+M6+N6)</f>
        <v>0</v>
      </c>
      <c r="M5" s="3"/>
      <c r="N5" s="7"/>
      <c r="O5" s="9"/>
    </row>
    <row r="6" ht="31.2" customHeight="1" spans="1:15">
      <c r="A6" s="2" t="s">
        <v>33</v>
      </c>
      <c r="B6" s="13" t="s">
        <v>34</v>
      </c>
      <c r="C6" s="14">
        <f>[3]总目标!B82</f>
        <v>249612</v>
      </c>
      <c r="D6" s="14">
        <f>[3]总目标!C82</f>
        <v>485112.393442623</v>
      </c>
      <c r="E6" s="14">
        <f>[3]总目标!D82</f>
        <v>397534.426229508</v>
      </c>
      <c r="F6" s="14">
        <f>[3]总目标!E82</f>
        <v>391039.081967214</v>
      </c>
      <c r="G6" s="14">
        <f>[3]总目标!F82</f>
        <v>369194.754098361</v>
      </c>
      <c r="H6" s="14">
        <f>[3]总目标!G82</f>
        <v>324188.852459017</v>
      </c>
      <c r="I6" s="14">
        <f>[3]总目标!H82</f>
        <v>367365.245901639</v>
      </c>
      <c r="J6" s="14">
        <f>[3]总目标!I82</f>
        <v>355514.754098361</v>
      </c>
      <c r="K6" s="14">
        <f>[3]总目标!J82</f>
        <v>342618.098360656</v>
      </c>
      <c r="L6" s="14">
        <f>[3]总目标!K82</f>
        <v>336998.360655738</v>
      </c>
      <c r="M6" s="14">
        <f>[3]总目标!L82</f>
        <v>344526.885245901</v>
      </c>
      <c r="N6" s="14">
        <f>[3]总目标!M82</f>
        <v>252862.426229508</v>
      </c>
      <c r="O6" s="29">
        <f>SUM(C6:N6)</f>
        <v>4216567.27868853</v>
      </c>
    </row>
    <row r="7" ht="15.6" customHeight="1" spans="1:15">
      <c r="A7" s="6"/>
      <c r="B7" s="15" t="s">
        <v>35</v>
      </c>
      <c r="C7" s="16">
        <v>183083.05</v>
      </c>
      <c r="D7" s="16">
        <v>513290.28</v>
      </c>
      <c r="E7" s="16">
        <v>327179.46</v>
      </c>
      <c r="F7" s="16">
        <v>235574.03</v>
      </c>
      <c r="G7" s="16">
        <v>163958.01</v>
      </c>
      <c r="H7" s="16">
        <v>83604.06</v>
      </c>
      <c r="I7" s="16"/>
      <c r="J7" s="16"/>
      <c r="K7" s="16"/>
      <c r="L7" s="16"/>
      <c r="M7" s="16"/>
      <c r="N7" s="16"/>
      <c r="O7" s="16">
        <f>SUM(C7:N7)</f>
        <v>1506688.89</v>
      </c>
    </row>
    <row r="8" ht="15.6" customHeight="1" spans="1:15">
      <c r="A8" s="6"/>
      <c r="B8" s="2" t="s">
        <v>36</v>
      </c>
      <c r="C8" s="17">
        <f t="shared" ref="C8:N8" si="0">IFERROR(C7/C6,0)</f>
        <v>0.733470546287839</v>
      </c>
      <c r="D8" s="17">
        <f t="shared" si="0"/>
        <v>1.0580852745431</v>
      </c>
      <c r="E8" s="17">
        <f t="shared" si="0"/>
        <v>0.823021701801267</v>
      </c>
      <c r="F8" s="17">
        <f t="shared" si="0"/>
        <v>0.602430910012599</v>
      </c>
      <c r="G8" s="17">
        <f t="shared" si="0"/>
        <v>0.444096261336146</v>
      </c>
      <c r="H8" s="17">
        <f t="shared" si="0"/>
        <v>0.257886905628777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>O7/O6</f>
        <v>0.357325945589708</v>
      </c>
    </row>
    <row r="9" ht="15.6" customHeight="1" spans="1:15">
      <c r="A9" s="6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0"/>
    </row>
    <row r="10" ht="15.6" customHeight="1" spans="1:15">
      <c r="A10" s="6"/>
      <c r="B10" s="2" t="s">
        <v>37</v>
      </c>
      <c r="C10" s="20">
        <f>[3]杨皓!B7</f>
        <v>15652</v>
      </c>
      <c r="D10" s="20">
        <f>[3]杨皓!C7</f>
        <v>25575</v>
      </c>
      <c r="E10" s="20">
        <f>[3]杨皓!D7</f>
        <v>22800</v>
      </c>
      <c r="F10" s="20">
        <f>[3]杨皓!E7</f>
        <v>23560</v>
      </c>
      <c r="G10" s="20">
        <f>[3]杨皓!F7</f>
        <v>22350</v>
      </c>
      <c r="H10" s="20">
        <f>[3]杨皓!G7</f>
        <v>21390</v>
      </c>
      <c r="I10" s="20">
        <f>[3]杨皓!H7</f>
        <v>19840</v>
      </c>
      <c r="J10" s="20">
        <f>[3]杨皓!I7</f>
        <v>19200</v>
      </c>
      <c r="K10" s="20">
        <f>[3]杨皓!J7</f>
        <v>19065</v>
      </c>
      <c r="L10" s="20">
        <f>[3]杨皓!K7</f>
        <v>18750</v>
      </c>
      <c r="M10" s="20">
        <f>[3]杨皓!L7</f>
        <v>19375</v>
      </c>
      <c r="N10" s="20">
        <f>[3]杨皓!M7</f>
        <v>15810</v>
      </c>
      <c r="O10" s="31">
        <f>SUM(C10:N10)</f>
        <v>243367</v>
      </c>
    </row>
    <row r="11" ht="15.6" customHeight="1" spans="1:15">
      <c r="A11" s="6"/>
      <c r="B11" s="15" t="s">
        <v>38</v>
      </c>
      <c r="C11" s="15">
        <v>14006</v>
      </c>
      <c r="D11" s="15">
        <v>29910</v>
      </c>
      <c r="E11" s="15">
        <v>24050</v>
      </c>
      <c r="F11" s="15">
        <v>20697</v>
      </c>
      <c r="G11" s="15">
        <v>10629</v>
      </c>
      <c r="H11" s="15">
        <v>5552</v>
      </c>
      <c r="I11" s="15"/>
      <c r="J11" s="15"/>
      <c r="K11" s="15"/>
      <c r="L11" s="15"/>
      <c r="M11" s="15"/>
      <c r="N11" s="15"/>
      <c r="O11" s="15"/>
    </row>
    <row r="12" ht="15.6" customHeight="1" spans="1:15">
      <c r="A12" s="6"/>
      <c r="B12" s="2" t="s">
        <v>39</v>
      </c>
      <c r="C12" s="10">
        <f t="shared" ref="C12:N12" si="1">IFERROR(C11/C10,0)</f>
        <v>0.894837720419116</v>
      </c>
      <c r="D12" s="10">
        <f t="shared" si="1"/>
        <v>1.16950146627566</v>
      </c>
      <c r="E12" s="10">
        <f t="shared" si="1"/>
        <v>1.05482456140351</v>
      </c>
      <c r="F12" s="10">
        <f t="shared" si="1"/>
        <v>0.878480475382003</v>
      </c>
      <c r="G12" s="10">
        <f t="shared" si="1"/>
        <v>0.475570469798658</v>
      </c>
      <c r="H12" s="10">
        <f t="shared" si="1"/>
        <v>0.25956054230949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0"/>
    </row>
    <row r="13" ht="15.6" customHeight="1" spans="1:15">
      <c r="A13" s="6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30"/>
    </row>
    <row r="14" ht="15.6" customHeight="1" spans="1:15">
      <c r="A14" s="6"/>
      <c r="B14" s="2" t="s">
        <v>40</v>
      </c>
      <c r="C14" s="20">
        <f>[3]杨皓!B8</f>
        <v>4931</v>
      </c>
      <c r="D14" s="20">
        <f>[3]杨皓!C8</f>
        <v>8069.3</v>
      </c>
      <c r="E14" s="20">
        <f>[3]杨皓!D8</f>
        <v>7200</v>
      </c>
      <c r="F14" s="20">
        <f>[3]杨皓!E8</f>
        <v>7446.2</v>
      </c>
      <c r="G14" s="20">
        <f>[3]杨皓!F8</f>
        <v>7068</v>
      </c>
      <c r="H14" s="20">
        <f>[3]杨皓!G8</f>
        <v>6770.4</v>
      </c>
      <c r="I14" s="20">
        <f>[3]杨皓!H8</f>
        <v>6348.8</v>
      </c>
      <c r="J14" s="20">
        <f>[3]杨皓!I8</f>
        <v>6144</v>
      </c>
      <c r="K14" s="20">
        <f>[3]杨皓!J8</f>
        <v>6100.8</v>
      </c>
      <c r="L14" s="20">
        <f>[3]杨皓!K8</f>
        <v>6000</v>
      </c>
      <c r="M14" s="20">
        <f>[3]杨皓!L8</f>
        <v>6200</v>
      </c>
      <c r="N14" s="20">
        <f>[3]杨皓!M8</f>
        <v>5059.2</v>
      </c>
      <c r="O14" s="32">
        <f>SUM(C14:N14)</f>
        <v>77337.7</v>
      </c>
    </row>
    <row r="15" ht="15.6" customHeight="1" spans="1:15">
      <c r="A15" s="6"/>
      <c r="B15" s="15" t="s">
        <v>41</v>
      </c>
      <c r="C15" s="15">
        <v>4028</v>
      </c>
      <c r="D15" s="15">
        <v>9084</v>
      </c>
      <c r="E15" s="15">
        <v>7984</v>
      </c>
      <c r="F15" s="15">
        <v>6921</v>
      </c>
      <c r="G15" s="15">
        <v>3584</v>
      </c>
      <c r="H15" s="15">
        <v>1727</v>
      </c>
      <c r="I15" s="15"/>
      <c r="J15" s="15"/>
      <c r="K15" s="15"/>
      <c r="L15" s="15"/>
      <c r="M15" s="15"/>
      <c r="N15" s="15"/>
      <c r="O15" s="15"/>
    </row>
    <row r="16" ht="15.6" customHeight="1" spans="1:15">
      <c r="A16" s="6"/>
      <c r="B16" s="2" t="s">
        <v>42</v>
      </c>
      <c r="C16" s="10">
        <f t="shared" ref="C16:N16" si="2">IFERROR(C15/C14,0)</f>
        <v>0.816872845264652</v>
      </c>
      <c r="D16" s="10">
        <f t="shared" si="2"/>
        <v>1.1257482061641</v>
      </c>
      <c r="E16" s="10">
        <f t="shared" si="2"/>
        <v>1.10888888888889</v>
      </c>
      <c r="F16" s="10">
        <f t="shared" si="2"/>
        <v>0.929467379334426</v>
      </c>
      <c r="G16" s="10">
        <f t="shared" si="2"/>
        <v>0.507074136955291</v>
      </c>
      <c r="H16" s="10">
        <f t="shared" si="2"/>
        <v>0.255080940564812</v>
      </c>
      <c r="I16" s="10">
        <f t="shared" si="2"/>
        <v>0</v>
      </c>
      <c r="J16" s="10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0"/>
    </row>
    <row r="17" ht="15.6" customHeight="1" spans="1:15">
      <c r="A17" s="6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30"/>
    </row>
    <row r="18" ht="15.6" customHeight="1" spans="1:15">
      <c r="A18" s="6"/>
      <c r="B18" s="21" t="s">
        <v>43</v>
      </c>
      <c r="C18" s="21">
        <f>[3]杨皓!B4</f>
        <v>60945529</v>
      </c>
      <c r="D18" s="21">
        <f>[3]杨皓!C4</f>
        <v>105245000</v>
      </c>
      <c r="E18" s="21">
        <f>[3]杨皓!D4</f>
        <v>93900000</v>
      </c>
      <c r="F18" s="21">
        <f>[3]杨皓!E4</f>
        <v>97045500</v>
      </c>
      <c r="G18" s="21">
        <f>[3]杨皓!F4</f>
        <v>92040000</v>
      </c>
      <c r="H18" s="21">
        <f>[3]杨皓!G4</f>
        <v>88164000</v>
      </c>
      <c r="I18" s="21">
        <f>[3]杨皓!H4</f>
        <v>82258500</v>
      </c>
      <c r="J18" s="21">
        <f>[3]杨皓!I4</f>
        <v>79605000</v>
      </c>
      <c r="K18" s="21">
        <f>[3]杨皓!J4</f>
        <v>79050000</v>
      </c>
      <c r="L18" s="21">
        <f>[3]杨皓!K4</f>
        <v>77737500</v>
      </c>
      <c r="M18" s="21">
        <f>[3]杨皓!L4</f>
        <v>80328750</v>
      </c>
      <c r="N18" s="21">
        <f>[3]杨皓!M4</f>
        <v>65541750</v>
      </c>
      <c r="O18" s="33">
        <f>SUM(C18:N18)</f>
        <v>1001861529</v>
      </c>
    </row>
    <row r="19" ht="15.6" customHeight="1" spans="1:15">
      <c r="A19" s="6"/>
      <c r="B19" s="22" t="s">
        <v>44</v>
      </c>
      <c r="C19" s="22">
        <v>54297707</v>
      </c>
      <c r="D19" s="22">
        <v>123457501</v>
      </c>
      <c r="E19" s="22">
        <v>98980880</v>
      </c>
      <c r="F19" s="22">
        <v>87996063</v>
      </c>
      <c r="G19" s="22">
        <v>44311201</v>
      </c>
      <c r="H19" s="22">
        <v>23416511</v>
      </c>
      <c r="I19" s="22"/>
      <c r="J19" s="22"/>
      <c r="K19" s="22"/>
      <c r="L19" s="22"/>
      <c r="M19" s="22"/>
      <c r="N19" s="22"/>
      <c r="O19" s="22"/>
    </row>
    <row r="20" ht="15.6" customHeight="1" spans="1:15">
      <c r="A20" s="6"/>
      <c r="B20" s="2" t="s">
        <v>45</v>
      </c>
      <c r="C20" s="10">
        <f t="shared" ref="C20:N20" si="3">IFERROR(C19/C18,0)</f>
        <v>0.890921908315867</v>
      </c>
      <c r="D20" s="10">
        <f t="shared" si="3"/>
        <v>1.17304861038529</v>
      </c>
      <c r="E20" s="10">
        <f t="shared" si="3"/>
        <v>1.05410947816826</v>
      </c>
      <c r="F20" s="10">
        <f t="shared" si="3"/>
        <v>0.906750575760854</v>
      </c>
      <c r="G20" s="10">
        <f t="shared" si="3"/>
        <v>0.481434169926119</v>
      </c>
      <c r="H20" s="10">
        <f t="shared" si="3"/>
        <v>0.265601730865206</v>
      </c>
      <c r="I20" s="10">
        <f t="shared" si="3"/>
        <v>0</v>
      </c>
      <c r="J20" s="10">
        <f t="shared" si="3"/>
        <v>0</v>
      </c>
      <c r="K20" s="10">
        <f t="shared" si="3"/>
        <v>0</v>
      </c>
      <c r="L20" s="10">
        <f t="shared" si="3"/>
        <v>0</v>
      </c>
      <c r="M20" s="10">
        <f t="shared" si="3"/>
        <v>0</v>
      </c>
      <c r="N20" s="10">
        <f t="shared" si="3"/>
        <v>0</v>
      </c>
      <c r="O20" s="10"/>
    </row>
    <row r="21" ht="15.6" customHeight="1" spans="1:15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0"/>
    </row>
    <row r="22" ht="15.6" customHeight="1" spans="1:15">
      <c r="A22" s="6"/>
      <c r="B22" s="2" t="s">
        <v>46</v>
      </c>
      <c r="C22" s="23">
        <f>[3]杨皓!B5/12.5</f>
        <v>1540624.32</v>
      </c>
      <c r="D22" s="23">
        <f>[3]杨皓!C5/12.5</f>
        <v>2657568</v>
      </c>
      <c r="E22" s="23">
        <f>[3]杨皓!D5/12.5</f>
        <v>2373120</v>
      </c>
      <c r="F22" s="23">
        <f>[3]杨皓!E5/12.5</f>
        <v>2454604.8</v>
      </c>
      <c r="G22" s="23">
        <f>[3]杨皓!F5/12.5</f>
        <v>2329344</v>
      </c>
      <c r="H22" s="23">
        <f>[3]杨皓!G5/12.5</f>
        <v>2233190.4</v>
      </c>
      <c r="I22" s="23">
        <f>[3]杨皓!H5/12.5</f>
        <v>2105817.6</v>
      </c>
      <c r="J22" s="23">
        <f>[3]杨皓!I5/12.5</f>
        <v>2037888</v>
      </c>
      <c r="K22" s="23">
        <f>[3]杨皓!J5/12.5</f>
        <v>2023680</v>
      </c>
      <c r="L22" s="23">
        <f>[3]杨皓!K5/12.5</f>
        <v>1990080</v>
      </c>
      <c r="M22" s="23">
        <f>[3]杨皓!L5/12.5</f>
        <v>2056416</v>
      </c>
      <c r="N22" s="23">
        <f>[3]杨皓!M5/12.5</f>
        <v>1677868.8</v>
      </c>
      <c r="O22" s="29">
        <f>SUM(C22:N22)</f>
        <v>25480201.92</v>
      </c>
    </row>
    <row r="23" ht="15.6" customHeight="1" spans="1:15">
      <c r="A23" s="6"/>
      <c r="B23" s="15" t="s">
        <v>47</v>
      </c>
      <c r="C23" s="24">
        <v>1404970.87</v>
      </c>
      <c r="D23" s="24">
        <v>3326888.67</v>
      </c>
      <c r="E23" s="24">
        <v>2800268.34</v>
      </c>
      <c r="F23" s="24">
        <v>2608141.71</v>
      </c>
      <c r="G23" s="24">
        <v>1421730</v>
      </c>
      <c r="H23" s="24">
        <v>630036.72</v>
      </c>
      <c r="I23" s="24"/>
      <c r="J23" s="24"/>
      <c r="K23" s="24"/>
      <c r="L23" s="24"/>
      <c r="M23" s="24"/>
      <c r="N23" s="24"/>
      <c r="O23" s="16"/>
    </row>
    <row r="24" ht="15.6" customHeight="1" spans="1:15">
      <c r="A24" s="6"/>
      <c r="B24" s="2" t="s">
        <v>48</v>
      </c>
      <c r="C24" s="10">
        <f t="shared" ref="C24:N24" si="4">IFERROR(C23/C22,0)</f>
        <v>0.911949040243633</v>
      </c>
      <c r="D24" s="10">
        <f t="shared" si="4"/>
        <v>1.2518545790738</v>
      </c>
      <c r="E24" s="10">
        <f t="shared" si="4"/>
        <v>1.17999441241909</v>
      </c>
      <c r="F24" s="10">
        <f t="shared" si="4"/>
        <v>1.06255056211085</v>
      </c>
      <c r="G24" s="10">
        <f t="shared" si="4"/>
        <v>0.610356392185954</v>
      </c>
      <c r="H24" s="10">
        <f t="shared" si="4"/>
        <v>0.282124049969049</v>
      </c>
      <c r="I24" s="10">
        <f t="shared" si="4"/>
        <v>0</v>
      </c>
      <c r="J24" s="10">
        <f t="shared" si="4"/>
        <v>0</v>
      </c>
      <c r="K24" s="10">
        <f t="shared" si="4"/>
        <v>0</v>
      </c>
      <c r="L24" s="10">
        <f t="shared" si="4"/>
        <v>0</v>
      </c>
      <c r="M24" s="10">
        <f t="shared" si="4"/>
        <v>0</v>
      </c>
      <c r="N24" s="10">
        <f t="shared" si="4"/>
        <v>0</v>
      </c>
      <c r="O24" s="10"/>
    </row>
    <row r="25" ht="15.6" customHeight="1" spans="1:15">
      <c r="A25" s="6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30"/>
    </row>
    <row r="26" ht="15.6" customHeight="1" spans="1:15">
      <c r="A26" s="6"/>
      <c r="B26" s="2" t="s">
        <v>49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15.6" customHeight="1" spans="1:15">
      <c r="A27" s="6"/>
      <c r="B27" s="2" t="s">
        <v>50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ht="15.6" customHeight="1" spans="1:15">
      <c r="A28" s="6"/>
      <c r="B28" s="2" t="s">
        <v>0</v>
      </c>
      <c r="C28" s="17">
        <f t="shared" ref="C28:N28" si="5">IFERROR(C7/C23,0)</f>
        <v>0.130310922389444</v>
      </c>
      <c r="D28" s="17">
        <f t="shared" si="5"/>
        <v>0.154285379197856</v>
      </c>
      <c r="E28" s="17">
        <f t="shared" si="5"/>
        <v>0.116838609831228</v>
      </c>
      <c r="F28" s="17">
        <f t="shared" si="5"/>
        <v>0.0903225576650128</v>
      </c>
      <c r="G28" s="17">
        <f t="shared" si="5"/>
        <v>0.115322888312127</v>
      </c>
      <c r="H28" s="17">
        <f t="shared" si="5"/>
        <v>0.132697122796271</v>
      </c>
      <c r="I28" s="17">
        <f t="shared" si="5"/>
        <v>0</v>
      </c>
      <c r="J28" s="17">
        <f t="shared" si="5"/>
        <v>0</v>
      </c>
      <c r="K28" s="17">
        <f t="shared" si="5"/>
        <v>0</v>
      </c>
      <c r="L28" s="17">
        <f t="shared" si="5"/>
        <v>0</v>
      </c>
      <c r="M28" s="17">
        <f t="shared" si="5"/>
        <v>0</v>
      </c>
      <c r="N28" s="17">
        <f t="shared" si="5"/>
        <v>0</v>
      </c>
      <c r="O28" s="17"/>
    </row>
    <row r="29" ht="15.6" customHeight="1" spans="1:15">
      <c r="A29" s="9"/>
      <c r="B29" s="18" t="s">
        <v>1</v>
      </c>
      <c r="C29" s="19">
        <f>SUM(C6:N6)</f>
        <v>4216567.27868853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30"/>
    </row>
    <row r="30" spans="2:3">
      <c r="B30" t="s">
        <v>2</v>
      </c>
      <c r="C30">
        <f>SUM(C7:N7)</f>
        <v>1506688.89</v>
      </c>
    </row>
    <row r="31" spans="2:3">
      <c r="B31" t="s">
        <v>3</v>
      </c>
      <c r="C31">
        <f>IFERROR(C30/C29,0)</f>
        <v>0.357325945589708</v>
      </c>
    </row>
    <row r="33" spans="2:3">
      <c r="B33" t="s">
        <v>4</v>
      </c>
      <c r="C33">
        <f>SUM(C22:N22)</f>
        <v>25480201.92</v>
      </c>
    </row>
    <row r="34" spans="2:3">
      <c r="B34" t="s">
        <v>5</v>
      </c>
      <c r="C34">
        <f>SUM(C23:N23)</f>
        <v>12192036.31</v>
      </c>
    </row>
    <row r="35" spans="2:3">
      <c r="B35" t="s">
        <v>6</v>
      </c>
      <c r="C35">
        <f>IFERROR(C34/C33,0)</f>
        <v>0.478490568806293</v>
      </c>
    </row>
    <row r="37" spans="2:3">
      <c r="B37" t="s">
        <v>7</v>
      </c>
      <c r="C37" t="s">
        <v>8</v>
      </c>
    </row>
    <row r="39" spans="2:3">
      <c r="B39" t="s">
        <v>9</v>
      </c>
      <c r="C39">
        <f>IFERROR(C30/C34,0)</f>
        <v>0.123579757449066</v>
      </c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毛立新</vt:lpstr>
      <vt:lpstr>张梦瑶</vt:lpstr>
      <vt:lpstr>郑志远</vt:lpstr>
      <vt:lpstr>何欢洁</vt:lpstr>
      <vt:lpstr>陈欣诺</vt:lpstr>
      <vt:lpstr>林梓蕾</vt:lpstr>
      <vt:lpstr>包家豪</vt:lpstr>
      <vt:lpstr>杨皓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12139</dc:creator>
  <cp:lastModifiedBy>毛立新</cp:lastModifiedBy>
  <dcterms:created xsi:type="dcterms:W3CDTF">2026-06-02T08:22:00Z</dcterms:created>
  <dcterms:modified xsi:type="dcterms:W3CDTF">2026-07-20T03:26:20Z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7FF1532D6B6C40B991FB53EBEEEC08F4_11</vt:lpwstr>
  </property>
  <property fmtid="{D5CDD505-2E9C-101B-9397-08002B2CF9AE}" pid="3" name="KSOProductBuildVer">
    <vt:lpwstr>2052-12.1.0.21915</vt:lpwstr>
  </property>
</Properties>
</file>