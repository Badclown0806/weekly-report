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Z-NZTF1店" sheetId="9" r:id="rId1"/>
    <sheet name="G-NZTF1店" sheetId="10" r:id="rId2"/>
    <sheet name="WB纯白关店" sheetId="11" r:id="rId3"/>
    <sheet name="OZ女装店" sheetId="12" r:id="rId4"/>
    <sheet name="WB汤总女装店" sheetId="13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<sst xmlns="http://schemas.openxmlformats.org/spreadsheetml/2006/main" count="210" uniqueCount="42">
  <si>
    <t>2026年度WB进度</t>
  </si>
  <si>
    <t>项目</t>
  </si>
  <si>
    <t>月度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</si>
  <si>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</si>
  <si>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</si>
  <si>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</si>
  <si>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</si>
  <si>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</si>
  <si>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</si>
  <si>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</si>
  <si>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</si>
  <si>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</si>
  <si>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</si>
  <si>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</si>
  <si>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</si>
  <si>
    <t>汇总</t>
  </si>
  <si>
    <t>季度</t>
  </si>
  <si>
    <t>Q1</t>
  </si>
  <si>
    <t>Q2</t>
  </si>
  <si>
    <t>Q3</t>
  </si>
  <si>
    <t>Q4</t>
  </si>
  <si>
    <t>季度财报</t>
  </si>
  <si>
    <t>季度财报进度</t>
  </si>
  <si>
    <t>目标完成情况</t>
  </si>
  <si>
    <t>月度目标
利润（人民币）</t>
  </si>
  <si>
    <t>实际利润（人民币）</t>
  </si>
  <si>
    <t>目标完成进度</t>
  </si>
  <si>
    <t>销量目标</t>
  </si>
  <si>
    <t>销量完成</t>
  </si>
  <si>
    <t>销量完成进度</t>
  </si>
  <si>
    <t>实销目标</t>
  </si>
  <si>
    <t>实销完成</t>
  </si>
  <si>
    <t>实销完成进度</t>
  </si>
  <si>
    <t>GMV目标</t>
  </si>
  <si>
    <t>GMV完成</t>
  </si>
  <si>
    <t>GMV完成进度</t>
  </si>
  <si>
    <t>GSV目标</t>
  </si>
  <si>
    <t>GSV完成</t>
  </si>
  <si>
    <t>GSV完成进度</t>
  </si>
  <si>
    <t>退款率</t>
  </si>
  <si>
    <t>退货率</t>
  </si>
  <si>
    <t>利润率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</si>
</sst>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6" formatCode="&quot;￥&quot;#,##0;[Red]&quot;￥&quot;\-#,##0"/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  <numFmt numFmtId="177" formatCode="&quot;￥&quot;#,##0_);[Red]\(&quot;￥&quot;#,##0\)"/>
    <numFmt numFmtId="178" formatCode="0_ "/>
    <numFmt numFmtId="179" formatCode="#,##0[$₽-419];[Red]\-#,##0[$₽-419]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0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1" borderId="14" applyNumberFormat="0" applyAlignment="0" applyProtection="0">
      <alignment vertical="center"/>
    </xf>
    <xf numFmtId="0" fontId="13" fillId="12" borderId="15" applyNumberFormat="0" applyAlignment="0" applyProtection="0">
      <alignment vertical="center"/>
    </xf>
    <xf numFmtId="0" fontId="14" fillId="12" borderId="14" applyNumberFormat="0" applyAlignment="0" applyProtection="0">
      <alignment vertical="center"/>
    </xf>
    <xf numFmtId="0" fontId="15" fillId="13" borderId="16" applyNumberFormat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9" fontId="1" fillId="0" borderId="1" xfId="3" applyFont="1" applyBorder="1" applyAlignment="1">
      <alignment horizontal="center" vertical="center"/>
    </xf>
    <xf numFmtId="10" fontId="1" fillId="2" borderId="1" xfId="3" applyNumberFormat="1" applyFont="1" applyFill="1" applyBorder="1" applyAlignment="1">
      <alignment horizontal="center" vertical="center"/>
    </xf>
    <xf numFmtId="10" fontId="1" fillId="3" borderId="1" xfId="3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177" fontId="2" fillId="4" borderId="1" xfId="0" applyNumberFormat="1" applyFont="1" applyFill="1" applyBorder="1" applyAlignment="1">
      <alignment horizontal="center" vertical="center"/>
    </xf>
    <xf numFmtId="8" fontId="1" fillId="0" borderId="3" xfId="0" applyNumberFormat="1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76" fontId="3" fillId="5" borderId="1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0" fontId="1" fillId="0" borderId="1" xfId="3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6" borderId="4" xfId="0" applyFont="1" applyFill="1" applyBorder="1" applyAlignment="1">
      <alignment vertical="center"/>
    </xf>
    <xf numFmtId="0" fontId="1" fillId="6" borderId="0" xfId="0" applyFont="1" applyFill="1" applyBorder="1" applyAlignment="1">
      <alignment vertical="center"/>
    </xf>
    <xf numFmtId="178" fontId="1" fillId="0" borderId="1" xfId="0" applyNumberFormat="1" applyFont="1" applyFill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179" fontId="1" fillId="0" borderId="3" xfId="0" applyNumberFormat="1" applyFont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/>
    </xf>
    <xf numFmtId="179" fontId="3" fillId="5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7" fontId="3" fillId="5" borderId="1" xfId="0" applyNumberFormat="1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10" fontId="1" fillId="7" borderId="1" xfId="3" applyNumberFormat="1" applyFont="1" applyFill="1" applyBorder="1" applyAlignment="1">
      <alignment horizontal="center" vertical="center"/>
    </xf>
    <xf numFmtId="10" fontId="1" fillId="8" borderId="1" xfId="3" applyNumberFormat="1" applyFont="1" applyFill="1" applyBorder="1" applyAlignment="1">
      <alignment horizontal="center" vertical="center"/>
    </xf>
    <xf numFmtId="177" fontId="2" fillId="9" borderId="1" xfId="0" applyNumberFormat="1" applyFont="1" applyFill="1" applyBorder="1" applyAlignment="1">
      <alignment horizontal="center" vertical="center"/>
    </xf>
    <xf numFmtId="0" fontId="1" fillId="6" borderId="6" xfId="0" applyFont="1" applyFill="1" applyBorder="1" applyAlignment="1">
      <alignment vertical="center"/>
    </xf>
    <xf numFmtId="178" fontId="2" fillId="9" borderId="1" xfId="0" applyNumberFormat="1" applyFont="1" applyFill="1" applyBorder="1" applyAlignment="1">
      <alignment horizontal="center" vertical="center"/>
    </xf>
    <xf numFmtId="179" fontId="2" fillId="9" borderId="1" xfId="0" applyNumberFormat="1" applyFont="1" applyFill="1" applyBorder="1" applyAlignment="1">
      <alignment horizontal="center" vertical="center"/>
    </xf>
    <xf numFmtId="6" fontId="0" fillId="0" borderId="0" xfId="0" applyNumberFormat="1">
      <alignment vertical="center"/>
    </xf>
    <xf numFmtId="6" fontId="1" fillId="0" borderId="3" xfId="0" applyNumberFormat="1" applyFont="1" applyBorder="1" applyAlignment="1">
      <alignment horizontal="center" vertical="center"/>
    </xf>
    <xf numFmtId="6" fontId="3" fillId="5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10" fontId="1" fillId="0" borderId="2" xfId="3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6" borderId="8" xfId="0" applyFont="1" applyFill="1" applyBorder="1" applyAlignment="1">
      <alignment vertical="center"/>
    </xf>
    <xf numFmtId="0" fontId="1" fillId="6" borderId="9" xfId="0" applyFont="1" applyFill="1" applyBorder="1" applyAlignment="1">
      <alignment vertical="center"/>
    </xf>
    <xf numFmtId="0" fontId="1" fillId="6" borderId="1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2899;&#35013;\2026&#22899;&#35013;&#24180;&#35268;_&#32456;&#29256;%20-%20&#25152;&#26377;&#22899;&#35013;&#2421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年度数据汇总进度"/>
      <sheetName val="月度数据汇总--女装"/>
      <sheetName val="周度数据填报"/>
      <sheetName val="目标拆解"/>
    </sheetNames>
    <sheetDataSet>
      <sheetData sheetId="0"/>
      <sheetData sheetId="1">
        <row r="3">
          <cell r="C3">
            <v>-6740.65</v>
          </cell>
          <cell r="D3">
            <v>106911.11</v>
          </cell>
          <cell r="E3">
            <v>10303.42</v>
          </cell>
          <cell r="F3">
            <v>27181.29</v>
          </cell>
          <cell r="G3">
            <v>-13699.74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</row>
        <row r="4">
          <cell r="C4">
            <v>2362</v>
          </cell>
          <cell r="D4">
            <v>9892</v>
          </cell>
          <cell r="E4">
            <v>6207</v>
          </cell>
          <cell r="F4">
            <v>6031</v>
          </cell>
          <cell r="G4">
            <v>2483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C5">
            <v>481</v>
          </cell>
          <cell r="D5">
            <v>2002</v>
          </cell>
          <cell r="E5">
            <v>1121</v>
          </cell>
          <cell r="F5">
            <v>1147</v>
          </cell>
          <cell r="G5">
            <v>510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</row>
        <row r="6">
          <cell r="C6">
            <v>13160868</v>
          </cell>
          <cell r="D6">
            <v>52320625</v>
          </cell>
          <cell r="E6">
            <v>29482199</v>
          </cell>
          <cell r="F6">
            <v>32616432</v>
          </cell>
          <cell r="G6">
            <v>11981910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C7">
            <v>197473.98</v>
          </cell>
          <cell r="D7">
            <v>878014.15</v>
          </cell>
          <cell r="E7">
            <v>493495.3</v>
          </cell>
          <cell r="F7">
            <v>550489.45</v>
          </cell>
          <cell r="G7">
            <v>238074.01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C8">
            <v>63564.22</v>
          </cell>
          <cell r="D8">
            <v>186252.86</v>
          </cell>
          <cell r="E8">
            <v>23902.22</v>
          </cell>
          <cell r="F8">
            <v>154982.1</v>
          </cell>
          <cell r="G8">
            <v>33716.99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</row>
        <row r="9">
          <cell r="C9">
            <v>3019</v>
          </cell>
          <cell r="D9">
            <v>10048</v>
          </cell>
          <cell r="E9">
            <v>5984</v>
          </cell>
          <cell r="F9">
            <v>11196</v>
          </cell>
          <cell r="G9">
            <v>4045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C10">
            <v>782</v>
          </cell>
          <cell r="D10">
            <v>2400</v>
          </cell>
          <cell r="E10">
            <v>1177</v>
          </cell>
          <cell r="F10">
            <v>2441</v>
          </cell>
          <cell r="G10">
            <v>887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C11">
            <v>17294018</v>
          </cell>
          <cell r="D11">
            <v>50353143</v>
          </cell>
          <cell r="E11">
            <v>30943005</v>
          </cell>
          <cell r="F11">
            <v>56092797</v>
          </cell>
          <cell r="G11">
            <v>18377548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C12">
            <v>324669.67</v>
          </cell>
          <cell r="D12">
            <v>1018496.8</v>
          </cell>
          <cell r="E12">
            <v>504766.74</v>
          </cell>
          <cell r="F12">
            <v>1069518.42</v>
          </cell>
          <cell r="G12">
            <v>401111.57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</sheetData>
      <sheetData sheetId="2"/>
      <sheetData sheetId="3">
        <row r="21">
          <cell r="B21">
            <v>8484848.4848485</v>
          </cell>
          <cell r="C21">
            <v>18787878.7878789</v>
          </cell>
          <cell r="D21">
            <v>36363636.3636363</v>
          </cell>
          <cell r="E21">
            <v>37575757.5757575</v>
          </cell>
          <cell r="F21">
            <v>36363636.3636363</v>
          </cell>
          <cell r="G21">
            <v>37575757.5757575</v>
          </cell>
          <cell r="H21">
            <v>65757575.757576</v>
          </cell>
          <cell r="I21">
            <v>63636363.6363635</v>
          </cell>
          <cell r="J21">
            <v>56363636.3636365</v>
          </cell>
          <cell r="K21">
            <v>54545454.5454545</v>
          </cell>
          <cell r="L21">
            <v>56363636.3636365</v>
          </cell>
          <cell r="M21">
            <v>28181818.1818181</v>
          </cell>
        </row>
        <row r="23">
          <cell r="B23">
            <v>135757.575757576</v>
          </cell>
          <cell r="C23">
            <v>300606.060606061</v>
          </cell>
          <cell r="D23">
            <v>581818.181818181</v>
          </cell>
          <cell r="E23">
            <v>601212.12121212</v>
          </cell>
          <cell r="F23">
            <v>581818.181818181</v>
          </cell>
          <cell r="G23">
            <v>601212.12121212</v>
          </cell>
          <cell r="H23">
            <v>1052121.21212121</v>
          </cell>
          <cell r="I23">
            <v>1018181.81818182</v>
          </cell>
          <cell r="J23">
            <v>901818.181818182</v>
          </cell>
          <cell r="K23">
            <v>872727.27272727</v>
          </cell>
          <cell r="L23">
            <v>901818.181818182</v>
          </cell>
          <cell r="M23">
            <v>450909.090909089</v>
          </cell>
        </row>
        <row r="25">
          <cell r="B25">
            <v>9503.0303030303</v>
          </cell>
          <cell r="C25">
            <v>21042.4242424243</v>
          </cell>
          <cell r="D25">
            <v>40727.2727272727</v>
          </cell>
          <cell r="E25">
            <v>42084.8484848484</v>
          </cell>
          <cell r="F25">
            <v>40727.2727272727</v>
          </cell>
          <cell r="G25">
            <v>42084.8484848484</v>
          </cell>
          <cell r="H25">
            <v>73648.4848484848</v>
          </cell>
          <cell r="I25">
            <v>71272.7272727271</v>
          </cell>
          <cell r="J25">
            <v>63127.2727272727</v>
          </cell>
          <cell r="K25">
            <v>61090.9090909089</v>
          </cell>
          <cell r="L25">
            <v>63127.2727272727</v>
          </cell>
          <cell r="M25">
            <v>31563.6363636363</v>
          </cell>
        </row>
        <row r="29">
          <cell r="B29">
            <v>1805.28691166989</v>
          </cell>
          <cell r="C29">
            <v>3997.42101869763</v>
          </cell>
          <cell r="D29">
            <v>7736.94390715666</v>
          </cell>
          <cell r="E29">
            <v>7994.84203739522</v>
          </cell>
          <cell r="F29">
            <v>7736.94390715666</v>
          </cell>
          <cell r="G29">
            <v>7994.84203739522</v>
          </cell>
          <cell r="H29">
            <v>13990.9735654417</v>
          </cell>
          <cell r="I29">
            <v>13539.6518375242</v>
          </cell>
          <cell r="J29">
            <v>11992.2630560929</v>
          </cell>
          <cell r="K29">
            <v>11605.415860735</v>
          </cell>
          <cell r="L29">
            <v>11992.2630560929</v>
          </cell>
          <cell r="M29">
            <v>5996.13152804641</v>
          </cell>
        </row>
        <row r="31">
          <cell r="B31">
            <v>361.057382333979</v>
          </cell>
          <cell r="C31">
            <v>799.484203739525</v>
          </cell>
          <cell r="D31">
            <v>1547.38878143133</v>
          </cell>
          <cell r="E31">
            <v>1598.96840747904</v>
          </cell>
          <cell r="F31">
            <v>1547.38878143133</v>
          </cell>
          <cell r="G31">
            <v>1598.96840747904</v>
          </cell>
          <cell r="H31">
            <v>2798.19471308834</v>
          </cell>
          <cell r="I31">
            <v>2707.93036750483</v>
          </cell>
          <cell r="J31">
            <v>2398.45261121857</v>
          </cell>
          <cell r="K31">
            <v>2321.083172147</v>
          </cell>
          <cell r="L31">
            <v>2398.45261121857</v>
          </cell>
          <cell r="M31">
            <v>1199.22630560928</v>
          </cell>
        </row>
        <row r="38">
          <cell r="B38">
            <v>9641873.27823693</v>
          </cell>
          <cell r="C38">
            <v>21349862.2589532</v>
          </cell>
          <cell r="D38">
            <v>41322314.0495867</v>
          </cell>
          <cell r="E38">
            <v>42699724.5179063</v>
          </cell>
          <cell r="F38">
            <v>41322314.0495867</v>
          </cell>
          <cell r="G38">
            <v>42699724.5179063</v>
          </cell>
          <cell r="H38">
            <v>74724517.9063364</v>
          </cell>
          <cell r="I38">
            <v>72314049.5867767</v>
          </cell>
          <cell r="J38">
            <v>64049586.7768597</v>
          </cell>
          <cell r="K38">
            <v>61983471.0743801</v>
          </cell>
          <cell r="L38">
            <v>64049586.7768597</v>
          </cell>
          <cell r="M38">
            <v>32024793.3884297</v>
          </cell>
        </row>
        <row r="40">
          <cell r="B40">
            <v>169696.96969697</v>
          </cell>
          <cell r="C40">
            <v>375757.575757577</v>
          </cell>
          <cell r="D40">
            <v>727272.727272726</v>
          </cell>
          <cell r="E40">
            <v>751515.151515151</v>
          </cell>
          <cell r="F40">
            <v>727272.727272726</v>
          </cell>
          <cell r="G40">
            <v>751515.151515151</v>
          </cell>
          <cell r="H40">
            <v>1315151.51515151</v>
          </cell>
          <cell r="I40">
            <v>1272727.27272727</v>
          </cell>
          <cell r="J40">
            <v>1127272.72727273</v>
          </cell>
          <cell r="K40">
            <v>1090909.09090909</v>
          </cell>
          <cell r="L40">
            <v>1127272.72727273</v>
          </cell>
          <cell r="M40">
            <v>563636.363636362</v>
          </cell>
        </row>
        <row r="42">
          <cell r="B42">
            <v>25963.6363636363</v>
          </cell>
          <cell r="C42">
            <v>57490.9090909092</v>
          </cell>
          <cell r="D42">
            <v>111272.727272727</v>
          </cell>
          <cell r="E42">
            <v>114981.818181818</v>
          </cell>
          <cell r="F42">
            <v>111272.727272727</v>
          </cell>
          <cell r="G42">
            <v>114981.818181818</v>
          </cell>
          <cell r="H42">
            <v>201218.181818182</v>
          </cell>
          <cell r="I42">
            <v>194727.272727272</v>
          </cell>
          <cell r="J42">
            <v>172472.727272727</v>
          </cell>
          <cell r="K42">
            <v>166909.09090909</v>
          </cell>
          <cell r="L42">
            <v>172472.727272727</v>
          </cell>
          <cell r="M42">
            <v>86236.3636363634</v>
          </cell>
        </row>
        <row r="46">
          <cell r="B46">
            <v>2051.46239962488</v>
          </cell>
          <cell r="C46">
            <v>4542.52388488367</v>
          </cell>
          <cell r="D46">
            <v>8791.98171267802</v>
          </cell>
          <cell r="E46">
            <v>9085.0477697673</v>
          </cell>
          <cell r="F46">
            <v>8791.98171267802</v>
          </cell>
          <cell r="G46">
            <v>9085.0477697673</v>
          </cell>
          <cell r="H46">
            <v>15898.8335970928</v>
          </cell>
          <cell r="I46">
            <v>15385.9679971865</v>
          </cell>
          <cell r="J46">
            <v>13627.571654651</v>
          </cell>
          <cell r="K46">
            <v>13187.972569017</v>
          </cell>
          <cell r="L46">
            <v>13627.571654651</v>
          </cell>
          <cell r="M46">
            <v>6813.78582732546</v>
          </cell>
        </row>
        <row r="55"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26785714.2857143</v>
          </cell>
          <cell r="J55">
            <v>35714285.7142857</v>
          </cell>
          <cell r="K55">
            <v>44642857.1428571</v>
          </cell>
          <cell r="L55">
            <v>44642857.1428571</v>
          </cell>
          <cell r="M55">
            <v>26785714.2857143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450000</v>
          </cell>
          <cell r="J57">
            <v>600000</v>
          </cell>
          <cell r="K57">
            <v>750000</v>
          </cell>
          <cell r="L57">
            <v>750000</v>
          </cell>
          <cell r="M57">
            <v>450000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45000</v>
          </cell>
          <cell r="J59">
            <v>60000</v>
          </cell>
          <cell r="K59">
            <v>75000</v>
          </cell>
          <cell r="L59">
            <v>75000</v>
          </cell>
          <cell r="M59">
            <v>45000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5699.08814589666</v>
          </cell>
          <cell r="J63">
            <v>7598.78419452888</v>
          </cell>
          <cell r="K63">
            <v>9498.4802431611</v>
          </cell>
          <cell r="L63">
            <v>9498.4802431611</v>
          </cell>
          <cell r="M63">
            <v>5699.08814589666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1196.8085106383</v>
          </cell>
          <cell r="J65">
            <v>1595.74468085106</v>
          </cell>
          <cell r="K65">
            <v>1994.68085106383</v>
          </cell>
          <cell r="L65">
            <v>1994.68085106383</v>
          </cell>
          <cell r="M65">
            <v>1196.8085106383</v>
          </cell>
        </row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21428571.4285714</v>
          </cell>
          <cell r="I72">
            <v>64285714.2857143</v>
          </cell>
          <cell r="J72">
            <v>89285714.2857143</v>
          </cell>
          <cell r="K72">
            <v>89285714.2857143</v>
          </cell>
          <cell r="L72">
            <v>71428571.4285714</v>
          </cell>
          <cell r="M72">
            <v>21428571.4285714</v>
          </cell>
        </row>
        <row r="74"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360000</v>
          </cell>
          <cell r="I74">
            <v>1080000</v>
          </cell>
          <cell r="J74">
            <v>1500000</v>
          </cell>
          <cell r="K74">
            <v>1500000</v>
          </cell>
          <cell r="L74">
            <v>1200000</v>
          </cell>
          <cell r="M74">
            <v>360000</v>
          </cell>
        </row>
        <row r="76"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55080</v>
          </cell>
          <cell r="I76">
            <v>165240</v>
          </cell>
          <cell r="J76">
            <v>229500</v>
          </cell>
          <cell r="K76">
            <v>229500</v>
          </cell>
          <cell r="L76">
            <v>183600</v>
          </cell>
          <cell r="M76">
            <v>55080</v>
          </cell>
        </row>
        <row r="80"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4559.27051671733</v>
          </cell>
          <cell r="I80">
            <v>13677.811550152</v>
          </cell>
          <cell r="J80">
            <v>18996.9604863222</v>
          </cell>
          <cell r="K80">
            <v>18996.9604863222</v>
          </cell>
          <cell r="L80">
            <v>15197.5683890578</v>
          </cell>
          <cell r="M80">
            <v>4559.27051671733</v>
          </cell>
        </row>
        <row r="82"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957.446808510638</v>
          </cell>
          <cell r="I82">
            <v>2872.34042553191</v>
          </cell>
          <cell r="J82">
            <v>3989.36170212766</v>
          </cell>
          <cell r="K82">
            <v>3989.36170212766</v>
          </cell>
          <cell r="L82">
            <v>3191.48936170213</v>
          </cell>
          <cell r="M82">
            <v>957.446808510638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21428571.4285714</v>
          </cell>
          <cell r="I89">
            <v>35714285.7142857</v>
          </cell>
          <cell r="J89">
            <v>32142857.1428571</v>
          </cell>
          <cell r="K89">
            <v>32142857.1428571</v>
          </cell>
          <cell r="L89">
            <v>32142857.1428571</v>
          </cell>
          <cell r="M89">
            <v>25000000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360000</v>
          </cell>
          <cell r="I91">
            <v>600000</v>
          </cell>
          <cell r="J91">
            <v>540000</v>
          </cell>
          <cell r="K91">
            <v>540000</v>
          </cell>
          <cell r="L91">
            <v>540000</v>
          </cell>
          <cell r="M91">
            <v>420000</v>
          </cell>
        </row>
        <row r="93"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36000</v>
          </cell>
          <cell r="I93">
            <v>60000</v>
          </cell>
          <cell r="J93">
            <v>54000</v>
          </cell>
          <cell r="K93">
            <v>54000</v>
          </cell>
          <cell r="L93">
            <v>54000</v>
          </cell>
          <cell r="M93">
            <v>42000</v>
          </cell>
        </row>
        <row r="97"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4559.27051671733</v>
          </cell>
          <cell r="I97">
            <v>7598.78419452888</v>
          </cell>
          <cell r="J97">
            <v>6838.90577507599</v>
          </cell>
          <cell r="K97">
            <v>6838.90577507599</v>
          </cell>
          <cell r="L97">
            <v>6838.90577507599</v>
          </cell>
          <cell r="M97">
            <v>5319.14893617021</v>
          </cell>
        </row>
        <row r="99"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957.446808510638</v>
          </cell>
          <cell r="I99">
            <v>1595.74468085106</v>
          </cell>
          <cell r="J99">
            <v>1436.17021276596</v>
          </cell>
          <cell r="K99">
            <v>1436.17021276596</v>
          </cell>
          <cell r="L99">
            <v>1436.17021276596</v>
          </cell>
          <cell r="M99">
            <v>1117.02127659574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"/>
  <sheetViews>
    <sheetView tabSelected="1" workbookViewId="0">
      <selection activeCell="Q20" sqref="Q20:R20"/>
    </sheetView>
  </sheetViews>
  <sheetFormatPr defaultColWidth="8.88888888888889" defaultRowHeight="14.4"/>
  <cols>
    <col min="1" max="1" width="14.1111111111111" customWidth="1"/>
    <col min="2" max="2" width="20.8888888888889" customWidth="1"/>
    <col min="3" max="3" width="12.4444444444444" customWidth="1"/>
    <col min="4" max="7" width="14.1111111111111" customWidth="1"/>
    <col min="8" max="8" width="13.7777777777778" customWidth="1"/>
    <col min="9" max="13" width="14.1111111111111" customWidth="1"/>
    <col min="14" max="14" width="13.7777777777778" customWidth="1"/>
    <col min="15" max="15" width="15.5555555555556" customWidth="1"/>
  </cols>
  <sheetData>
    <row r="1" ht="15.6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5.6" spans="1:1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3" t="s">
        <v>7</v>
      </c>
      <c r="H2" s="3" t="s">
        <v>8</v>
      </c>
      <c r="I2" s="27" t="s">
        <v>9</v>
      </c>
      <c r="J2" s="27" t="s">
        <v>10</v>
      </c>
      <c r="K2" s="27" t="s">
        <v>11</v>
      </c>
      <c r="L2" s="28" t="s">
        <v>12</v>
      </c>
      <c r="M2" s="28" t="s">
        <v>13</v>
      </c>
      <c r="N2" s="28" t="s">
        <v>14</v>
      </c>
      <c r="O2" s="1" t="s">
        <v>15</v>
      </c>
    </row>
    <row r="3" ht="15.6" spans="1:15">
      <c r="A3" s="1"/>
      <c r="B3" s="1" t="s">
        <v>16</v>
      </c>
      <c r="C3" s="2" t="s">
        <v>17</v>
      </c>
      <c r="D3" s="2"/>
      <c r="E3" s="2"/>
      <c r="F3" s="3" t="s">
        <v>18</v>
      </c>
      <c r="G3" s="3"/>
      <c r="H3" s="3"/>
      <c r="I3" s="27" t="s">
        <v>19</v>
      </c>
      <c r="J3" s="27"/>
      <c r="K3" s="27"/>
      <c r="L3" s="28" t="s">
        <v>20</v>
      </c>
      <c r="M3" s="28"/>
      <c r="N3" s="28"/>
      <c r="O3" s="1"/>
    </row>
    <row r="4" ht="15.6" spans="1:15">
      <c r="A4" s="1"/>
      <c r="B4" s="1" t="s">
        <v>21</v>
      </c>
      <c r="C4" s="4">
        <f>(C7+D7+E7)</f>
        <v>273719.3</v>
      </c>
      <c r="D4" s="4"/>
      <c r="E4" s="4"/>
      <c r="F4" s="3">
        <f>(F7+G7+H7)</f>
        <v>188699.09</v>
      </c>
      <c r="G4" s="3"/>
      <c r="H4" s="3"/>
      <c r="I4" s="27">
        <f>(I7+J7+K7)</f>
        <v>0</v>
      </c>
      <c r="J4" s="27"/>
      <c r="K4" s="27"/>
      <c r="L4" s="28">
        <f>(L7+M7+N7)</f>
        <v>0</v>
      </c>
      <c r="M4" s="28"/>
      <c r="N4" s="28"/>
      <c r="O4" s="1"/>
    </row>
    <row r="5" ht="15.6" spans="1:15">
      <c r="A5" s="5"/>
      <c r="B5" s="5" t="s">
        <v>22</v>
      </c>
      <c r="C5" s="6">
        <f>(C7+D7+E7)/(C6+D6+E6)</f>
        <v>1.40565466853408</v>
      </c>
      <c r="D5" s="6"/>
      <c r="E5" s="6"/>
      <c r="F5" s="7">
        <f>(F7+G7+H7)/(F6+G6+H6)</f>
        <v>0.552986463661553</v>
      </c>
      <c r="G5" s="7"/>
      <c r="H5" s="7"/>
      <c r="I5" s="29">
        <f>(I7+J7+K7)/(I6+J6+K6)</f>
        <v>0</v>
      </c>
      <c r="J5" s="29"/>
      <c r="K5" s="29"/>
      <c r="L5" s="30">
        <f>(L7+M7+N7)/(L6+M6+N6)</f>
        <v>0</v>
      </c>
      <c r="M5" s="30"/>
      <c r="N5" s="30"/>
      <c r="O5" s="5"/>
    </row>
    <row r="6" ht="31.2" spans="1:15">
      <c r="A6" s="8" t="s">
        <v>23</v>
      </c>
      <c r="B6" s="9" t="s">
        <v>24</v>
      </c>
      <c r="C6" s="10">
        <f>[1]目标拆解!B42</f>
        <v>25963.6363636363</v>
      </c>
      <c r="D6" s="10">
        <f>[1]目标拆解!C42</f>
        <v>57490.9090909092</v>
      </c>
      <c r="E6" s="10">
        <f>[1]目标拆解!D42</f>
        <v>111272.727272727</v>
      </c>
      <c r="F6" s="10">
        <f>[1]目标拆解!E42</f>
        <v>114981.818181818</v>
      </c>
      <c r="G6" s="10">
        <f>[1]目标拆解!F42</f>
        <v>111272.727272727</v>
      </c>
      <c r="H6" s="10">
        <f>[1]目标拆解!G42</f>
        <v>114981.818181818</v>
      </c>
      <c r="I6" s="10">
        <f>[1]目标拆解!H42</f>
        <v>201218.181818182</v>
      </c>
      <c r="J6" s="10">
        <f>[1]目标拆解!I42</f>
        <v>194727.272727272</v>
      </c>
      <c r="K6" s="10">
        <f>[1]目标拆解!J42</f>
        <v>172472.727272727</v>
      </c>
      <c r="L6" s="10">
        <f>[1]目标拆解!K42</f>
        <v>166909.09090909</v>
      </c>
      <c r="M6" s="10">
        <f>[1]目标拆解!L42</f>
        <v>172472.727272727</v>
      </c>
      <c r="N6" s="10">
        <f>[1]目标拆解!M42</f>
        <v>86236.3636363634</v>
      </c>
      <c r="O6" s="31">
        <f>SUM(C6:N6)</f>
        <v>1530000</v>
      </c>
    </row>
    <row r="7" ht="15.6" spans="1:15">
      <c r="A7" s="14"/>
      <c r="B7" s="12" t="s">
        <v>25</v>
      </c>
      <c r="C7" s="13">
        <f>'[1]月度数据汇总--女装'!C8</f>
        <v>63564.22</v>
      </c>
      <c r="D7" s="13">
        <f>'[1]月度数据汇总--女装'!D8</f>
        <v>186252.86</v>
      </c>
      <c r="E7" s="13">
        <f>'[1]月度数据汇总--女装'!E8</f>
        <v>23902.22</v>
      </c>
      <c r="F7" s="13">
        <f>'[1]月度数据汇总--女装'!F8</f>
        <v>154982.1</v>
      </c>
      <c r="G7" s="13">
        <f>'[1]月度数据汇总--女装'!G8</f>
        <v>33716.99</v>
      </c>
      <c r="H7" s="13">
        <f>'[1]月度数据汇总--女装'!H8</f>
        <v>0</v>
      </c>
      <c r="I7" s="13">
        <f>'[1]月度数据汇总--女装'!I8</f>
        <v>0</v>
      </c>
      <c r="J7" s="13">
        <f>'[1]月度数据汇总--女装'!J8</f>
        <v>0</v>
      </c>
      <c r="K7" s="13">
        <f>'[1]月度数据汇总--女装'!K8</f>
        <v>0</v>
      </c>
      <c r="L7" s="13">
        <f>'[1]月度数据汇总--女装'!L8</f>
        <v>0</v>
      </c>
      <c r="M7" s="13">
        <f>'[1]月度数据汇总--女装'!M8</f>
        <v>0</v>
      </c>
      <c r="N7" s="13">
        <f>'[1]月度数据汇总--女装'!N8</f>
        <v>0</v>
      </c>
      <c r="O7" s="13">
        <f>SUM(C7:N7)</f>
        <v>462418.39</v>
      </c>
    </row>
    <row r="8" ht="15.6" spans="1:15">
      <c r="A8" s="14"/>
      <c r="B8" s="1" t="s">
        <v>26</v>
      </c>
      <c r="C8" s="15">
        <f t="shared" ref="C8:O8" si="0">C7/C6</f>
        <v>2.44820175070029</v>
      </c>
      <c r="D8" s="15">
        <f t="shared" si="0"/>
        <v>3.23969237824161</v>
      </c>
      <c r="E8" s="15">
        <f t="shared" si="0"/>
        <v>0.214807532679739</v>
      </c>
      <c r="F8" s="15">
        <f t="shared" si="0"/>
        <v>1.34788353889943</v>
      </c>
      <c r="G8" s="15">
        <f t="shared" si="0"/>
        <v>0.30301216503268</v>
      </c>
      <c r="H8" s="15">
        <f t="shared" si="0"/>
        <v>0</v>
      </c>
      <c r="I8" s="15">
        <f t="shared" si="0"/>
        <v>0</v>
      </c>
      <c r="J8" s="15">
        <f t="shared" si="0"/>
        <v>0</v>
      </c>
      <c r="K8" s="15">
        <f t="shared" si="0"/>
        <v>0</v>
      </c>
      <c r="L8" s="15">
        <f t="shared" si="0"/>
        <v>0</v>
      </c>
      <c r="M8" s="15">
        <f t="shared" si="0"/>
        <v>0</v>
      </c>
      <c r="N8" s="15">
        <f t="shared" si="0"/>
        <v>0</v>
      </c>
      <c r="O8" s="15">
        <f t="shared" si="0"/>
        <v>0.302234241830066</v>
      </c>
    </row>
    <row r="9" ht="15.6" spans="1:15">
      <c r="A9" s="16"/>
      <c r="B9" s="17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32"/>
    </row>
    <row r="10" ht="15.6" spans="1:15">
      <c r="A10" s="14"/>
      <c r="B10" s="1" t="s">
        <v>27</v>
      </c>
      <c r="C10" s="19">
        <f>[1]目标拆解!B46</f>
        <v>2051.46239962488</v>
      </c>
      <c r="D10" s="19">
        <f>[1]目标拆解!C46</f>
        <v>4542.52388488367</v>
      </c>
      <c r="E10" s="19">
        <f>[1]目标拆解!D46</f>
        <v>8791.98171267802</v>
      </c>
      <c r="F10" s="19">
        <f>[1]目标拆解!E46</f>
        <v>9085.0477697673</v>
      </c>
      <c r="G10" s="19">
        <f>[1]目标拆解!F46</f>
        <v>8791.98171267802</v>
      </c>
      <c r="H10" s="19">
        <f>[1]目标拆解!G46</f>
        <v>9085.0477697673</v>
      </c>
      <c r="I10" s="19">
        <f>[1]目标拆解!H46</f>
        <v>15898.8335970928</v>
      </c>
      <c r="J10" s="19">
        <f>[1]目标拆解!I46</f>
        <v>15385.9679971865</v>
      </c>
      <c r="K10" s="19">
        <f>[1]目标拆解!J46</f>
        <v>13627.571654651</v>
      </c>
      <c r="L10" s="19">
        <f>[1]目标拆解!K46</f>
        <v>13187.972569017</v>
      </c>
      <c r="M10" s="19">
        <f>[1]目标拆解!L46</f>
        <v>13627.571654651</v>
      </c>
      <c r="N10" s="19">
        <f>[1]目标拆解!M46</f>
        <v>6813.78582732546</v>
      </c>
      <c r="O10" s="38">
        <f t="shared" ref="O10:O15" si="1">SUM(C10:N10)</f>
        <v>120889.748549323</v>
      </c>
    </row>
    <row r="11" ht="15.6" spans="1:15">
      <c r="A11" s="14"/>
      <c r="B11" s="12" t="s">
        <v>28</v>
      </c>
      <c r="C11" s="12">
        <f>'[1]月度数据汇总--女装'!C9</f>
        <v>3019</v>
      </c>
      <c r="D11" s="12">
        <f>'[1]月度数据汇总--女装'!D9</f>
        <v>10048</v>
      </c>
      <c r="E11" s="12">
        <f>'[1]月度数据汇总--女装'!E9</f>
        <v>5984</v>
      </c>
      <c r="F11" s="12">
        <f>'[1]月度数据汇总--女装'!F9</f>
        <v>11196</v>
      </c>
      <c r="G11" s="12">
        <f>'[1]月度数据汇总--女装'!G9</f>
        <v>4045</v>
      </c>
      <c r="H11" s="12">
        <f>'[1]月度数据汇总--女装'!H9</f>
        <v>0</v>
      </c>
      <c r="I11" s="12">
        <f>'[1]月度数据汇总--女装'!I9</f>
        <v>0</v>
      </c>
      <c r="J11" s="12">
        <f>'[1]月度数据汇总--女装'!J9</f>
        <v>0</v>
      </c>
      <c r="K11" s="12">
        <f>'[1]月度数据汇总--女装'!K9</f>
        <v>0</v>
      </c>
      <c r="L11" s="12">
        <f>'[1]月度数据汇总--女装'!L9</f>
        <v>0</v>
      </c>
      <c r="M11" s="12">
        <f>'[1]月度数据汇总--女装'!M9</f>
        <v>0</v>
      </c>
      <c r="N11" s="12">
        <f>'[1]月度数据汇总--女装'!N9</f>
        <v>0</v>
      </c>
      <c r="O11" s="12">
        <f t="shared" si="1"/>
        <v>34292</v>
      </c>
    </row>
    <row r="12" ht="15.6" spans="1:15">
      <c r="A12" s="14"/>
      <c r="B12" s="1" t="s">
        <v>29</v>
      </c>
      <c r="C12" s="15">
        <f t="shared" ref="C12:O12" si="2">C11/C10</f>
        <v>1.47163311428571</v>
      </c>
      <c r="D12" s="15">
        <f t="shared" si="2"/>
        <v>2.21198616774193</v>
      </c>
      <c r="E12" s="15">
        <f t="shared" si="2"/>
        <v>0.680620160000001</v>
      </c>
      <c r="F12" s="15">
        <f t="shared" si="2"/>
        <v>1.23235455483871</v>
      </c>
      <c r="G12" s="15">
        <f t="shared" si="2"/>
        <v>0.460078300000001</v>
      </c>
      <c r="H12" s="15">
        <f t="shared" si="2"/>
        <v>0</v>
      </c>
      <c r="I12" s="15">
        <f t="shared" si="2"/>
        <v>0</v>
      </c>
      <c r="J12" s="15">
        <f t="shared" si="2"/>
        <v>0</v>
      </c>
      <c r="K12" s="15">
        <f t="shared" si="2"/>
        <v>0</v>
      </c>
      <c r="L12" s="15">
        <f t="shared" si="2"/>
        <v>0</v>
      </c>
      <c r="M12" s="15">
        <f t="shared" si="2"/>
        <v>0</v>
      </c>
      <c r="N12" s="15">
        <f t="shared" si="2"/>
        <v>0</v>
      </c>
      <c r="O12" s="15">
        <f t="shared" si="2"/>
        <v>0.283663424</v>
      </c>
    </row>
    <row r="13" ht="15.6" spans="1:15">
      <c r="A13" s="14"/>
      <c r="B13" s="17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32"/>
    </row>
    <row r="14" ht="15.6" spans="1:15">
      <c r="A14" s="14"/>
      <c r="B14" s="1" t="s">
        <v>30</v>
      </c>
      <c r="C14" s="20">
        <f>[1]目标拆解!B31</f>
        <v>361.057382333979</v>
      </c>
      <c r="D14" s="20">
        <f>[1]目标拆解!C31</f>
        <v>799.484203739525</v>
      </c>
      <c r="E14" s="20">
        <f>[1]目标拆解!D31</f>
        <v>1547.38878143133</v>
      </c>
      <c r="F14" s="20">
        <f>[1]目标拆解!E31</f>
        <v>1598.96840747904</v>
      </c>
      <c r="G14" s="20">
        <f>[1]目标拆解!F31</f>
        <v>1547.38878143133</v>
      </c>
      <c r="H14" s="20">
        <f>[1]目标拆解!G31</f>
        <v>1598.96840747904</v>
      </c>
      <c r="I14" s="20">
        <f>[1]目标拆解!H31</f>
        <v>2798.19471308834</v>
      </c>
      <c r="J14" s="20">
        <f>[1]目标拆解!I31</f>
        <v>2707.93036750483</v>
      </c>
      <c r="K14" s="20">
        <f>[1]目标拆解!J31</f>
        <v>2398.45261121857</v>
      </c>
      <c r="L14" s="20">
        <f>[1]目标拆解!K31</f>
        <v>2321.083172147</v>
      </c>
      <c r="M14" s="20">
        <f>[1]目标拆解!L31</f>
        <v>2398.45261121857</v>
      </c>
      <c r="N14" s="20">
        <f>[1]目标拆解!M31</f>
        <v>1199.22630560928</v>
      </c>
      <c r="O14" s="38">
        <f t="shared" si="1"/>
        <v>21276.5957446808</v>
      </c>
    </row>
    <row r="15" ht="15.6" spans="1:15">
      <c r="A15" s="14"/>
      <c r="B15" s="12" t="s">
        <v>31</v>
      </c>
      <c r="C15" s="12">
        <f>'[1]月度数据汇总--女装'!C10</f>
        <v>782</v>
      </c>
      <c r="D15" s="12">
        <f>'[1]月度数据汇总--女装'!D10</f>
        <v>2400</v>
      </c>
      <c r="E15" s="12">
        <f>'[1]月度数据汇总--女装'!E10</f>
        <v>1177</v>
      </c>
      <c r="F15" s="12">
        <f>'[1]月度数据汇总--女装'!F10</f>
        <v>2441</v>
      </c>
      <c r="G15" s="12">
        <f>'[1]月度数据汇总--女装'!G10</f>
        <v>887</v>
      </c>
      <c r="H15" s="12">
        <f>'[1]月度数据汇总--女装'!H10</f>
        <v>0</v>
      </c>
      <c r="I15" s="12">
        <f>'[1]月度数据汇总--女装'!I10</f>
        <v>0</v>
      </c>
      <c r="J15" s="12">
        <f>'[1]月度数据汇总--女装'!J10</f>
        <v>0</v>
      </c>
      <c r="K15" s="12">
        <f>'[1]月度数据汇总--女装'!K10</f>
        <v>0</v>
      </c>
      <c r="L15" s="12">
        <f>'[1]月度数据汇总--女装'!L10</f>
        <v>0</v>
      </c>
      <c r="M15" s="12">
        <f>'[1]月度数据汇总--女装'!M10</f>
        <v>0</v>
      </c>
      <c r="N15" s="12">
        <f>'[1]月度数据汇总--女装'!N10</f>
        <v>0</v>
      </c>
      <c r="O15" s="12">
        <f t="shared" si="1"/>
        <v>7687</v>
      </c>
    </row>
    <row r="16" ht="15.6" spans="1:15">
      <c r="A16" s="14"/>
      <c r="B16" s="1" t="s">
        <v>32</v>
      </c>
      <c r="C16" s="15">
        <f t="shared" ref="C16:O16" si="3">C15/C14</f>
        <v>2.16586071428571</v>
      </c>
      <c r="D16" s="15">
        <f t="shared" si="3"/>
        <v>3.00193548387096</v>
      </c>
      <c r="E16" s="15">
        <f t="shared" si="3"/>
        <v>0.760636250000002</v>
      </c>
      <c r="F16" s="15">
        <f t="shared" si="3"/>
        <v>1.52660927419355</v>
      </c>
      <c r="G16" s="15">
        <f t="shared" si="3"/>
        <v>0.573223750000002</v>
      </c>
      <c r="H16" s="15">
        <f t="shared" si="3"/>
        <v>0</v>
      </c>
      <c r="I16" s="15">
        <f t="shared" si="3"/>
        <v>0</v>
      </c>
      <c r="J16" s="15">
        <f t="shared" si="3"/>
        <v>0</v>
      </c>
      <c r="K16" s="15">
        <f t="shared" si="3"/>
        <v>0</v>
      </c>
      <c r="L16" s="15">
        <f t="shared" si="3"/>
        <v>0</v>
      </c>
      <c r="M16" s="15">
        <f t="shared" si="3"/>
        <v>0</v>
      </c>
      <c r="N16" s="15">
        <f t="shared" si="3"/>
        <v>0</v>
      </c>
      <c r="O16" s="15">
        <f t="shared" si="3"/>
        <v>0.361289</v>
      </c>
    </row>
    <row r="17" ht="15.6" spans="1:15">
      <c r="A17" s="14"/>
      <c r="B17" s="17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32"/>
    </row>
    <row r="18" ht="15.6" spans="1:15">
      <c r="A18" s="21"/>
      <c r="B18" s="22" t="s">
        <v>33</v>
      </c>
      <c r="C18" s="22">
        <f>[1]目标拆解!B38</f>
        <v>9641873.27823693</v>
      </c>
      <c r="D18" s="22">
        <f>[1]目标拆解!C38</f>
        <v>21349862.2589532</v>
      </c>
      <c r="E18" s="22">
        <f>[1]目标拆解!D38</f>
        <v>41322314.0495867</v>
      </c>
      <c r="F18" s="22">
        <f>[1]目标拆解!E38</f>
        <v>42699724.5179063</v>
      </c>
      <c r="G18" s="22">
        <f>[1]目标拆解!F38</f>
        <v>41322314.0495867</v>
      </c>
      <c r="H18" s="22">
        <f>[1]目标拆解!G38</f>
        <v>42699724.5179063</v>
      </c>
      <c r="I18" s="22">
        <f>[1]目标拆解!H38</f>
        <v>74724517.9063364</v>
      </c>
      <c r="J18" s="22">
        <f>[1]目标拆解!I38</f>
        <v>72314049.5867767</v>
      </c>
      <c r="K18" s="22">
        <f>[1]目标拆解!J38</f>
        <v>64049586.7768597</v>
      </c>
      <c r="L18" s="22">
        <f>[1]目标拆解!K38</f>
        <v>61983471.0743801</v>
      </c>
      <c r="M18" s="22">
        <f>[1]目标拆解!L38</f>
        <v>64049586.7768597</v>
      </c>
      <c r="N18" s="22">
        <f>[1]目标拆解!M38</f>
        <v>32024793.3884297</v>
      </c>
      <c r="O18" s="34">
        <f>SUM(C18:N18)</f>
        <v>568181818.181818</v>
      </c>
    </row>
    <row r="19" ht="15.6" spans="1:15">
      <c r="A19" s="21"/>
      <c r="B19" s="23" t="s">
        <v>34</v>
      </c>
      <c r="C19" s="23">
        <f>'[1]月度数据汇总--女装'!C11</f>
        <v>17294018</v>
      </c>
      <c r="D19" s="23">
        <f>'[1]月度数据汇总--女装'!D11</f>
        <v>50353143</v>
      </c>
      <c r="E19" s="23">
        <f>'[1]月度数据汇总--女装'!E11</f>
        <v>30943005</v>
      </c>
      <c r="F19" s="23">
        <f>'[1]月度数据汇总--女装'!F11</f>
        <v>56092797</v>
      </c>
      <c r="G19" s="23">
        <f>'[1]月度数据汇总--女装'!G11</f>
        <v>18377548</v>
      </c>
      <c r="H19" s="23">
        <f>'[1]月度数据汇总--女装'!H11</f>
        <v>0</v>
      </c>
      <c r="I19" s="23">
        <f>'[1]月度数据汇总--女装'!I11</f>
        <v>0</v>
      </c>
      <c r="J19" s="23">
        <f>'[1]月度数据汇总--女装'!J11</f>
        <v>0</v>
      </c>
      <c r="K19" s="23">
        <f>'[1]月度数据汇总--女装'!K11</f>
        <v>0</v>
      </c>
      <c r="L19" s="23">
        <f>'[1]月度数据汇总--女装'!L11</f>
        <v>0</v>
      </c>
      <c r="M19" s="23">
        <f>'[1]月度数据汇总--女装'!M11</f>
        <v>0</v>
      </c>
      <c r="N19" s="23">
        <f>'[1]月度数据汇总--女装'!N11</f>
        <v>0</v>
      </c>
      <c r="O19" s="23">
        <f>SUM(C19:N19)</f>
        <v>173060511</v>
      </c>
    </row>
    <row r="20" ht="15.6" spans="1:15">
      <c r="A20" s="14"/>
      <c r="B20" s="1" t="s">
        <v>35</v>
      </c>
      <c r="C20" s="15">
        <f t="shared" ref="C20:O20" si="4">C19/C18</f>
        <v>1.793636724</v>
      </c>
      <c r="D20" s="15">
        <f t="shared" si="4"/>
        <v>2.35847624632258</v>
      </c>
      <c r="E20" s="15">
        <f t="shared" si="4"/>
        <v>0.748820721000001</v>
      </c>
      <c r="F20" s="15">
        <f t="shared" si="4"/>
        <v>1.31365711683871</v>
      </c>
      <c r="G20" s="15">
        <f t="shared" si="4"/>
        <v>0.444736661600001</v>
      </c>
      <c r="H20" s="15">
        <f t="shared" si="4"/>
        <v>0</v>
      </c>
      <c r="I20" s="15">
        <f t="shared" si="4"/>
        <v>0</v>
      </c>
      <c r="J20" s="15">
        <f t="shared" si="4"/>
        <v>0</v>
      </c>
      <c r="K20" s="15">
        <f t="shared" si="4"/>
        <v>0</v>
      </c>
      <c r="L20" s="15">
        <f t="shared" si="4"/>
        <v>0</v>
      </c>
      <c r="M20" s="15">
        <f t="shared" si="4"/>
        <v>0</v>
      </c>
      <c r="N20" s="15">
        <f t="shared" si="4"/>
        <v>0</v>
      </c>
      <c r="O20" s="15">
        <f t="shared" si="4"/>
        <v>0.30458649936</v>
      </c>
    </row>
    <row r="21" ht="15.6" spans="1:15">
      <c r="A21" s="14"/>
      <c r="B21" s="17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32"/>
    </row>
    <row r="22" ht="15.6" spans="1:15">
      <c r="A22" s="14"/>
      <c r="B22" s="1" t="s">
        <v>36</v>
      </c>
      <c r="C22" s="24">
        <f>[1]目标拆解!B40</f>
        <v>169696.96969697</v>
      </c>
      <c r="D22" s="24">
        <f>[1]目标拆解!C40</f>
        <v>375757.575757577</v>
      </c>
      <c r="E22" s="24">
        <f>[1]目标拆解!D40</f>
        <v>727272.727272726</v>
      </c>
      <c r="F22" s="24">
        <f>[1]目标拆解!E40</f>
        <v>751515.151515151</v>
      </c>
      <c r="G22" s="24">
        <f>[1]目标拆解!F40</f>
        <v>727272.727272726</v>
      </c>
      <c r="H22" s="24">
        <f>[1]目标拆解!G40</f>
        <v>751515.151515151</v>
      </c>
      <c r="I22" s="24">
        <f>[1]目标拆解!H40</f>
        <v>1315151.51515151</v>
      </c>
      <c r="J22" s="24">
        <f>[1]目标拆解!I40</f>
        <v>1272727.27272727</v>
      </c>
      <c r="K22" s="24">
        <f>[1]目标拆解!J40</f>
        <v>1127272.72727273</v>
      </c>
      <c r="L22" s="24">
        <f>[1]目标拆解!K40</f>
        <v>1090909.09090909</v>
      </c>
      <c r="M22" s="24">
        <f>[1]目标拆解!L40</f>
        <v>1127272.72727273</v>
      </c>
      <c r="N22" s="24">
        <f>[1]目标拆解!M40</f>
        <v>563636.363636362</v>
      </c>
      <c r="O22" s="31">
        <f>SUM(C22:N22)</f>
        <v>9999999.99999999</v>
      </c>
    </row>
    <row r="23" ht="15.6" spans="1:15">
      <c r="A23" s="14"/>
      <c r="B23" s="12" t="s">
        <v>37</v>
      </c>
      <c r="C23" s="25">
        <f>'[1]月度数据汇总--女装'!C12</f>
        <v>324669.67</v>
      </c>
      <c r="D23" s="25">
        <f>'[1]月度数据汇总--女装'!D12</f>
        <v>1018496.8</v>
      </c>
      <c r="E23" s="25">
        <f>'[1]月度数据汇总--女装'!E12</f>
        <v>504766.74</v>
      </c>
      <c r="F23" s="25">
        <f>'[1]月度数据汇总--女装'!F12</f>
        <v>1069518.42</v>
      </c>
      <c r="G23" s="25">
        <f>'[1]月度数据汇总--女装'!G12</f>
        <v>401111.57</v>
      </c>
      <c r="H23" s="25">
        <f>'[1]月度数据汇总--女装'!H12</f>
        <v>0</v>
      </c>
      <c r="I23" s="25">
        <f>'[1]月度数据汇总--女装'!I12</f>
        <v>0</v>
      </c>
      <c r="J23" s="25">
        <f>'[1]月度数据汇总--女装'!J12</f>
        <v>0</v>
      </c>
      <c r="K23" s="25">
        <f>'[1]月度数据汇总--女装'!K12</f>
        <v>0</v>
      </c>
      <c r="L23" s="25">
        <f>'[1]月度数据汇总--女装'!L12</f>
        <v>0</v>
      </c>
      <c r="M23" s="25">
        <f>'[1]月度数据汇总--女装'!M12</f>
        <v>0</v>
      </c>
      <c r="N23" s="25">
        <f>'[1]月度数据汇总--女装'!N12</f>
        <v>0</v>
      </c>
      <c r="O23" s="13">
        <f>SUM(C23:N23)</f>
        <v>3318563.2</v>
      </c>
    </row>
    <row r="24" ht="15.6" spans="1:15">
      <c r="A24" s="14"/>
      <c r="B24" s="1" t="s">
        <v>38</v>
      </c>
      <c r="C24" s="15">
        <f t="shared" ref="C24:O24" si="5">C23/C22</f>
        <v>1.91323198392857</v>
      </c>
      <c r="D24" s="15">
        <f t="shared" si="5"/>
        <v>2.71051567741935</v>
      </c>
      <c r="E24" s="15">
        <f t="shared" si="5"/>
        <v>0.694054267500001</v>
      </c>
      <c r="F24" s="15">
        <f t="shared" si="5"/>
        <v>1.42314951048387</v>
      </c>
      <c r="G24" s="15">
        <f t="shared" si="5"/>
        <v>0.551528408750001</v>
      </c>
      <c r="H24" s="15">
        <f t="shared" si="5"/>
        <v>0</v>
      </c>
      <c r="I24" s="15">
        <f t="shared" si="5"/>
        <v>0</v>
      </c>
      <c r="J24" s="15">
        <f t="shared" si="5"/>
        <v>0</v>
      </c>
      <c r="K24" s="15">
        <f t="shared" si="5"/>
        <v>0</v>
      </c>
      <c r="L24" s="15">
        <f t="shared" si="5"/>
        <v>0</v>
      </c>
      <c r="M24" s="15">
        <f t="shared" si="5"/>
        <v>0</v>
      </c>
      <c r="N24" s="15">
        <f t="shared" si="5"/>
        <v>0</v>
      </c>
      <c r="O24" s="15">
        <f t="shared" si="5"/>
        <v>0.33185632</v>
      </c>
    </row>
    <row r="25" ht="15.6" spans="1:15">
      <c r="A25" s="14"/>
      <c r="B25" s="17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32"/>
    </row>
    <row r="26" ht="15.6" spans="1:15">
      <c r="A26" s="14"/>
      <c r="B26" s="1" t="s">
        <v>39</v>
      </c>
      <c r="C26" s="15">
        <f>1-C23*12.5/(C19)</f>
        <v>0.765330944202787</v>
      </c>
      <c r="D26" s="15">
        <f t="shared" ref="D26:O26" si="6">1-D23*12.5/(D19)</f>
        <v>0.747161562486775</v>
      </c>
      <c r="E26" s="15">
        <f t="shared" si="6"/>
        <v>0.796090126023636</v>
      </c>
      <c r="F26" s="15">
        <f t="shared" si="6"/>
        <v>0.761663155253249</v>
      </c>
      <c r="G26" s="15">
        <f t="shared" si="6"/>
        <v>0.727172818430402</v>
      </c>
      <c r="H26" s="15" t="e">
        <f t="shared" si="6"/>
        <v>#DIV/0!</v>
      </c>
      <c r="I26" s="15" t="e">
        <f t="shared" si="6"/>
        <v>#DIV/0!</v>
      </c>
      <c r="J26" s="15" t="e">
        <f t="shared" si="6"/>
        <v>#DIV/0!</v>
      </c>
      <c r="K26" s="15" t="e">
        <f t="shared" si="6"/>
        <v>#DIV/0!</v>
      </c>
      <c r="L26" s="15" t="e">
        <f t="shared" si="6"/>
        <v>#DIV/0!</v>
      </c>
      <c r="M26" s="15" t="e">
        <f t="shared" si="6"/>
        <v>#DIV/0!</v>
      </c>
      <c r="N26" s="15" t="e">
        <f t="shared" si="6"/>
        <v>#DIV/0!</v>
      </c>
      <c r="O26" s="15">
        <f t="shared" si="6"/>
        <v>0.760303261788011</v>
      </c>
    </row>
    <row r="27" ht="15.6" spans="1:15">
      <c r="A27" s="14"/>
      <c r="B27" s="1" t="s">
        <v>40</v>
      </c>
      <c r="C27" s="15">
        <f>1-C15/C11</f>
        <v>0.740973832394833</v>
      </c>
      <c r="D27" s="15">
        <f t="shared" ref="D27:O27" si="7">1-D15/D11</f>
        <v>0.761146496815287</v>
      </c>
      <c r="E27" s="15">
        <f t="shared" si="7"/>
        <v>0.803308823529412</v>
      </c>
      <c r="F27" s="15">
        <f t="shared" si="7"/>
        <v>0.781975705609146</v>
      </c>
      <c r="G27" s="15">
        <f t="shared" si="7"/>
        <v>0.780716934487021</v>
      </c>
      <c r="H27" s="15" t="e">
        <f t="shared" si="7"/>
        <v>#DIV/0!</v>
      </c>
      <c r="I27" s="15" t="e">
        <f t="shared" si="7"/>
        <v>#DIV/0!</v>
      </c>
      <c r="J27" s="15" t="e">
        <f t="shared" si="7"/>
        <v>#DIV/0!</v>
      </c>
      <c r="K27" s="15" t="e">
        <f t="shared" si="7"/>
        <v>#DIV/0!</v>
      </c>
      <c r="L27" s="15" t="e">
        <f t="shared" si="7"/>
        <v>#DIV/0!</v>
      </c>
      <c r="M27" s="15" t="e">
        <f t="shared" si="7"/>
        <v>#DIV/0!</v>
      </c>
      <c r="N27" s="15" t="e">
        <f t="shared" si="7"/>
        <v>#DIV/0!</v>
      </c>
      <c r="O27" s="15">
        <f t="shared" si="7"/>
        <v>0.775836929896186</v>
      </c>
    </row>
    <row r="28" ht="15.6" spans="1:15">
      <c r="A28" s="14"/>
      <c r="B28" s="8" t="s">
        <v>41</v>
      </c>
      <c r="C28" s="39">
        <f>C7/(C23)</f>
        <v>0.195781207403821</v>
      </c>
      <c r="D28" s="39">
        <f t="shared" ref="D28:O28" si="8">D7/(D23)</f>
        <v>0.18287034382435</v>
      </c>
      <c r="E28" s="39">
        <f t="shared" si="8"/>
        <v>0.0473530011109686</v>
      </c>
      <c r="F28" s="39">
        <f t="shared" si="8"/>
        <v>0.144908303683073</v>
      </c>
      <c r="G28" s="39">
        <f t="shared" si="8"/>
        <v>0.0840588816722489</v>
      </c>
      <c r="H28" s="39" t="e">
        <f t="shared" si="8"/>
        <v>#DIV/0!</v>
      </c>
      <c r="I28" s="39" t="e">
        <f t="shared" si="8"/>
        <v>#DIV/0!</v>
      </c>
      <c r="J28" s="39" t="e">
        <f t="shared" si="8"/>
        <v>#DIV/0!</v>
      </c>
      <c r="K28" s="39" t="e">
        <f t="shared" si="8"/>
        <v>#DIV/0!</v>
      </c>
      <c r="L28" s="39" t="e">
        <f t="shared" si="8"/>
        <v>#DIV/0!</v>
      </c>
      <c r="M28" s="39" t="e">
        <f t="shared" si="8"/>
        <v>#DIV/0!</v>
      </c>
      <c r="N28" s="39" t="e">
        <f t="shared" si="8"/>
        <v>#DIV/0!</v>
      </c>
      <c r="O28" s="39">
        <f t="shared" si="8"/>
        <v>0.139342951190443</v>
      </c>
    </row>
    <row r="29" ht="15.6" spans="1:15">
      <c r="A29" s="40"/>
      <c r="B29" s="41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3"/>
    </row>
  </sheetData>
  <mergeCells count="16">
    <mergeCell ref="A1:O1"/>
    <mergeCell ref="C3:E3"/>
    <mergeCell ref="F3:H3"/>
    <mergeCell ref="I3:K3"/>
    <mergeCell ref="L3:N3"/>
    <mergeCell ref="C4:E4"/>
    <mergeCell ref="F4:H4"/>
    <mergeCell ref="I4:K4"/>
    <mergeCell ref="L4:N4"/>
    <mergeCell ref="C5:E5"/>
    <mergeCell ref="F5:H5"/>
    <mergeCell ref="I5:K5"/>
    <mergeCell ref="L5:N5"/>
    <mergeCell ref="A2:A5"/>
    <mergeCell ref="A6:A29"/>
    <mergeCell ref="O2:O5"/>
  </mergeCells>
  <conditionalFormatting sqref="B8:O8 B12:O12 B16:O16 B20:O20 B24:O24 B26:O2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{e006b730-45e0-44a0-9f5a-41fd5be88c85}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06b730-45e0-44a0-9f5a-41fd5be88c8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B8:O8 B12:O12 B16:O16 B20:O20 B24:O24 B26:O28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"/>
  <sheetViews>
    <sheetView workbookViewId="0">
      <selection activeCell="Q23" sqref="Q23"/>
    </sheetView>
  </sheetViews>
  <sheetFormatPr defaultColWidth="8.88888888888889" defaultRowHeight="14.4"/>
  <cols>
    <col min="1" max="1" width="14.1111111111111" customWidth="1"/>
    <col min="2" max="2" width="20.8888888888889" customWidth="1"/>
    <col min="3" max="8" width="13.7777777777778" customWidth="1"/>
    <col min="9" max="10" width="14.1111111111111" customWidth="1"/>
    <col min="11" max="14" width="13.7777777777778" customWidth="1"/>
    <col min="15" max="15" width="17.4444444444444" customWidth="1"/>
  </cols>
  <sheetData>
    <row r="1" ht="15.6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5.6" spans="1:1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3" t="s">
        <v>7</v>
      </c>
      <c r="H2" s="3" t="s">
        <v>8</v>
      </c>
      <c r="I2" s="27" t="s">
        <v>9</v>
      </c>
      <c r="J2" s="27" t="s">
        <v>10</v>
      </c>
      <c r="K2" s="27" t="s">
        <v>11</v>
      </c>
      <c r="L2" s="28" t="s">
        <v>12</v>
      </c>
      <c r="M2" s="28" t="s">
        <v>13</v>
      </c>
      <c r="N2" s="28" t="s">
        <v>14</v>
      </c>
      <c r="O2" s="1" t="s">
        <v>15</v>
      </c>
    </row>
    <row r="3" ht="15.6" spans="1:15">
      <c r="A3" s="1"/>
      <c r="B3" s="1" t="s">
        <v>16</v>
      </c>
      <c r="C3" s="2" t="s">
        <v>17</v>
      </c>
      <c r="D3" s="2"/>
      <c r="E3" s="2"/>
      <c r="F3" s="3" t="s">
        <v>18</v>
      </c>
      <c r="G3" s="3"/>
      <c r="H3" s="3"/>
      <c r="I3" s="27" t="s">
        <v>19</v>
      </c>
      <c r="J3" s="27"/>
      <c r="K3" s="27"/>
      <c r="L3" s="28" t="s">
        <v>20</v>
      </c>
      <c r="M3" s="28"/>
      <c r="N3" s="28"/>
      <c r="O3" s="1"/>
    </row>
    <row r="4" ht="15.6" spans="1:15">
      <c r="A4" s="1"/>
      <c r="B4" s="1" t="s">
        <v>21</v>
      </c>
      <c r="C4" s="4">
        <f>(C7+D7+E7)</f>
        <v>110473.88</v>
      </c>
      <c r="D4" s="4"/>
      <c r="E4" s="4"/>
      <c r="F4" s="3">
        <f>(F7+G7+H7)</f>
        <v>13481.55</v>
      </c>
      <c r="G4" s="3"/>
      <c r="H4" s="3"/>
      <c r="I4" s="27">
        <f>(I7+J7+K7)</f>
        <v>0</v>
      </c>
      <c r="J4" s="27"/>
      <c r="K4" s="27"/>
      <c r="L4" s="28">
        <f>(L7+M7+N7)</f>
        <v>0</v>
      </c>
      <c r="M4" s="28"/>
      <c r="N4" s="28"/>
      <c r="O4" s="1"/>
    </row>
    <row r="5" ht="15.6" spans="1:15">
      <c r="A5" s="5"/>
      <c r="B5" s="5" t="s">
        <v>22</v>
      </c>
      <c r="C5" s="6">
        <f>(C7+D7+E7)/(C6+D6+E6)</f>
        <v>1.55001617346939</v>
      </c>
      <c r="D5" s="6"/>
      <c r="E5" s="6"/>
      <c r="F5" s="7">
        <f>(F7+G7+H7)/(F6+G6+H6)</f>
        <v>0.107941369856367</v>
      </c>
      <c r="G5" s="7"/>
      <c r="H5" s="7"/>
      <c r="I5" s="29">
        <f>(I7+J7+K7)/(I6+J6+K6)</f>
        <v>0</v>
      </c>
      <c r="J5" s="29"/>
      <c r="K5" s="29"/>
      <c r="L5" s="30">
        <f>(L7+M7+N7)/(L6+M6+N6)</f>
        <v>0</v>
      </c>
      <c r="M5" s="30"/>
      <c r="N5" s="30"/>
      <c r="O5" s="5"/>
    </row>
    <row r="6" ht="31.2" spans="1:15">
      <c r="A6" s="8" t="s">
        <v>23</v>
      </c>
      <c r="B6" s="9" t="s">
        <v>24</v>
      </c>
      <c r="C6" s="10">
        <f>[1]目标拆解!B25</f>
        <v>9503.0303030303</v>
      </c>
      <c r="D6" s="10">
        <f>[1]目标拆解!C25</f>
        <v>21042.4242424243</v>
      </c>
      <c r="E6" s="10">
        <f>[1]目标拆解!D25</f>
        <v>40727.2727272727</v>
      </c>
      <c r="F6" s="10">
        <f>[1]目标拆解!E25</f>
        <v>42084.8484848484</v>
      </c>
      <c r="G6" s="10">
        <f>[1]目标拆解!F25</f>
        <v>40727.2727272727</v>
      </c>
      <c r="H6" s="10">
        <f>[1]目标拆解!G25</f>
        <v>42084.8484848484</v>
      </c>
      <c r="I6" s="10">
        <f>[1]目标拆解!H25</f>
        <v>73648.4848484848</v>
      </c>
      <c r="J6" s="10">
        <f>[1]目标拆解!I25</f>
        <v>71272.7272727271</v>
      </c>
      <c r="K6" s="10">
        <f>[1]目标拆解!J25</f>
        <v>63127.2727272727</v>
      </c>
      <c r="L6" s="10">
        <f>[1]目标拆解!K25</f>
        <v>61090.9090909089</v>
      </c>
      <c r="M6" s="10">
        <f>[1]目标拆解!L25</f>
        <v>63127.2727272727</v>
      </c>
      <c r="N6" s="10">
        <f>[1]目标拆解!M25</f>
        <v>31563.6363636363</v>
      </c>
      <c r="O6" s="31">
        <f t="shared" ref="O6:O11" si="0">SUM(C6:N6)</f>
        <v>559999.999999999</v>
      </c>
    </row>
    <row r="7" s="35" customFormat="1" ht="15.6" spans="1:15">
      <c r="A7" s="36"/>
      <c r="B7" s="37" t="s">
        <v>25</v>
      </c>
      <c r="C7" s="37">
        <f>'[1]月度数据汇总--女装'!C3</f>
        <v>-6740.65</v>
      </c>
      <c r="D7" s="37">
        <f>'[1]月度数据汇总--女装'!D3</f>
        <v>106911.11</v>
      </c>
      <c r="E7" s="37">
        <f>'[1]月度数据汇总--女装'!E3</f>
        <v>10303.42</v>
      </c>
      <c r="F7" s="37">
        <f>'[1]月度数据汇总--女装'!F3</f>
        <v>27181.29</v>
      </c>
      <c r="G7" s="37">
        <f>'[1]月度数据汇总--女装'!G3</f>
        <v>-13699.74</v>
      </c>
      <c r="H7" s="37">
        <f>'[1]月度数据汇总--女装'!H3</f>
        <v>0</v>
      </c>
      <c r="I7" s="37">
        <f>'[1]月度数据汇总--女装'!I3</f>
        <v>0</v>
      </c>
      <c r="J7" s="37">
        <f>'[1]月度数据汇总--女装'!J3</f>
        <v>0</v>
      </c>
      <c r="K7" s="37">
        <f>'[1]月度数据汇总--女装'!K3</f>
        <v>0</v>
      </c>
      <c r="L7" s="37">
        <f>'[1]月度数据汇总--女装'!L3</f>
        <v>0</v>
      </c>
      <c r="M7" s="37">
        <f>'[1]月度数据汇总--女装'!M3</f>
        <v>0</v>
      </c>
      <c r="N7" s="37">
        <f>'[1]月度数据汇总--女装'!N3</f>
        <v>0</v>
      </c>
      <c r="O7" s="37">
        <f t="shared" si="0"/>
        <v>123955.43</v>
      </c>
    </row>
    <row r="8" ht="15.6" spans="1:15">
      <c r="A8" s="14"/>
      <c r="B8" s="1" t="s">
        <v>26</v>
      </c>
      <c r="C8" s="15">
        <f t="shared" ref="C8:O8" si="1">C7/C6</f>
        <v>-0.709315848214286</v>
      </c>
      <c r="D8" s="15">
        <f t="shared" si="1"/>
        <v>5.08074111463132</v>
      </c>
      <c r="E8" s="15">
        <f t="shared" si="1"/>
        <v>0.252985758928572</v>
      </c>
      <c r="F8" s="15">
        <f t="shared" si="1"/>
        <v>0.645868786002305</v>
      </c>
      <c r="G8" s="15">
        <f t="shared" si="1"/>
        <v>-0.336377544642857</v>
      </c>
      <c r="H8" s="15">
        <f t="shared" si="1"/>
        <v>0</v>
      </c>
      <c r="I8" s="15">
        <f t="shared" si="1"/>
        <v>0</v>
      </c>
      <c r="J8" s="15">
        <f t="shared" si="1"/>
        <v>0</v>
      </c>
      <c r="K8" s="15">
        <f t="shared" si="1"/>
        <v>0</v>
      </c>
      <c r="L8" s="15">
        <f t="shared" si="1"/>
        <v>0</v>
      </c>
      <c r="M8" s="15">
        <f t="shared" si="1"/>
        <v>0</v>
      </c>
      <c r="N8" s="15">
        <f t="shared" si="1"/>
        <v>0</v>
      </c>
      <c r="O8" s="15">
        <f t="shared" si="1"/>
        <v>0.221348982142857</v>
      </c>
    </row>
    <row r="9" ht="15.6" spans="1:15">
      <c r="A9" s="16"/>
      <c r="B9" s="17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32"/>
    </row>
    <row r="10" ht="15.6" spans="1:15">
      <c r="A10" s="14"/>
      <c r="B10" s="1" t="s">
        <v>27</v>
      </c>
      <c r="C10" s="19">
        <f>[1]目标拆解!B29</f>
        <v>1805.28691166989</v>
      </c>
      <c r="D10" s="19">
        <f>[1]目标拆解!C29</f>
        <v>3997.42101869763</v>
      </c>
      <c r="E10" s="19">
        <f>[1]目标拆解!D29</f>
        <v>7736.94390715666</v>
      </c>
      <c r="F10" s="19">
        <f>[1]目标拆解!E29</f>
        <v>7994.84203739522</v>
      </c>
      <c r="G10" s="19">
        <f>[1]目标拆解!F29</f>
        <v>7736.94390715666</v>
      </c>
      <c r="H10" s="19">
        <f>[1]目标拆解!G29</f>
        <v>7994.84203739522</v>
      </c>
      <c r="I10" s="19">
        <f>[1]目标拆解!H29</f>
        <v>13990.9735654417</v>
      </c>
      <c r="J10" s="19">
        <f>[1]目标拆解!I29</f>
        <v>13539.6518375242</v>
      </c>
      <c r="K10" s="19">
        <f>[1]目标拆解!J29</f>
        <v>11992.2630560929</v>
      </c>
      <c r="L10" s="19">
        <f>[1]目标拆解!K29</f>
        <v>11605.415860735</v>
      </c>
      <c r="M10" s="19">
        <f>[1]目标拆解!L29</f>
        <v>11992.2630560929</v>
      </c>
      <c r="N10" s="19">
        <f>[1]目标拆解!M29</f>
        <v>5996.13152804641</v>
      </c>
      <c r="O10" s="38">
        <f t="shared" si="0"/>
        <v>106382.978723404</v>
      </c>
    </row>
    <row r="11" ht="15.6" spans="1:15">
      <c r="A11" s="14"/>
      <c r="B11" s="12" t="s">
        <v>28</v>
      </c>
      <c r="C11" s="12">
        <f>'[1]月度数据汇总--女装'!C4</f>
        <v>2362</v>
      </c>
      <c r="D11" s="12">
        <f>'[1]月度数据汇总--女装'!D4</f>
        <v>9892</v>
      </c>
      <c r="E11" s="12">
        <f>'[1]月度数据汇总--女装'!E4</f>
        <v>6207</v>
      </c>
      <c r="F11" s="12">
        <f>'[1]月度数据汇总--女装'!F4</f>
        <v>6031</v>
      </c>
      <c r="G11" s="12">
        <f>'[1]月度数据汇总--女装'!G4</f>
        <v>2483</v>
      </c>
      <c r="H11" s="12">
        <f>'[1]月度数据汇总--女装'!H4</f>
        <v>0</v>
      </c>
      <c r="I11" s="12">
        <f>'[1]月度数据汇总--女装'!I4</f>
        <v>0</v>
      </c>
      <c r="J11" s="12">
        <f>'[1]月度数据汇总--女装'!J4</f>
        <v>0</v>
      </c>
      <c r="K11" s="12">
        <f>'[1]月度数据汇总--女装'!K4</f>
        <v>0</v>
      </c>
      <c r="L11" s="12">
        <f>'[1]月度数据汇总--女装'!L4</f>
        <v>0</v>
      </c>
      <c r="M11" s="12">
        <f>'[1]月度数据汇总--女装'!M4</f>
        <v>0</v>
      </c>
      <c r="N11" s="12">
        <f>'[1]月度数据汇总--女装'!N4</f>
        <v>0</v>
      </c>
      <c r="O11" s="12">
        <f t="shared" si="0"/>
        <v>26975</v>
      </c>
    </row>
    <row r="12" ht="15.6" spans="1:15">
      <c r="A12" s="14"/>
      <c r="B12" s="1" t="s">
        <v>29</v>
      </c>
      <c r="C12" s="15">
        <f t="shared" ref="C12:O12" si="2">C11/C10</f>
        <v>1.30837928571429</v>
      </c>
      <c r="D12" s="15">
        <f t="shared" si="2"/>
        <v>2.47459548387096</v>
      </c>
      <c r="E12" s="15">
        <f t="shared" si="2"/>
        <v>0.802254750000001</v>
      </c>
      <c r="F12" s="15">
        <f t="shared" si="2"/>
        <v>0.754361370967743</v>
      </c>
      <c r="G12" s="15">
        <f t="shared" si="2"/>
        <v>0.320927750000001</v>
      </c>
      <c r="H12" s="15">
        <f t="shared" si="2"/>
        <v>0</v>
      </c>
      <c r="I12" s="15">
        <f t="shared" si="2"/>
        <v>0</v>
      </c>
      <c r="J12" s="15">
        <f t="shared" si="2"/>
        <v>0</v>
      </c>
      <c r="K12" s="15">
        <f t="shared" si="2"/>
        <v>0</v>
      </c>
      <c r="L12" s="15">
        <f t="shared" si="2"/>
        <v>0</v>
      </c>
      <c r="M12" s="15">
        <f t="shared" si="2"/>
        <v>0</v>
      </c>
      <c r="N12" s="15">
        <f t="shared" si="2"/>
        <v>0</v>
      </c>
      <c r="O12" s="15">
        <f t="shared" si="2"/>
        <v>0.253565</v>
      </c>
    </row>
    <row r="13" ht="15.6" spans="1:15">
      <c r="A13" s="14"/>
      <c r="B13" s="17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32"/>
    </row>
    <row r="14" ht="15.6" spans="1:15">
      <c r="A14" s="14"/>
      <c r="B14" s="1" t="s">
        <v>30</v>
      </c>
      <c r="C14" s="20">
        <f>[1]目标拆解!B31</f>
        <v>361.057382333979</v>
      </c>
      <c r="D14" s="20">
        <f>[1]目标拆解!C31</f>
        <v>799.484203739525</v>
      </c>
      <c r="E14" s="20">
        <f>[1]目标拆解!D31</f>
        <v>1547.38878143133</v>
      </c>
      <c r="F14" s="20">
        <f>[1]目标拆解!E31</f>
        <v>1598.96840747904</v>
      </c>
      <c r="G14" s="20">
        <f>[1]目标拆解!F31</f>
        <v>1547.38878143133</v>
      </c>
      <c r="H14" s="20">
        <f>[1]目标拆解!G31</f>
        <v>1598.96840747904</v>
      </c>
      <c r="I14" s="20">
        <f>[1]目标拆解!H31</f>
        <v>2798.19471308834</v>
      </c>
      <c r="J14" s="20">
        <f>[1]目标拆解!I31</f>
        <v>2707.93036750483</v>
      </c>
      <c r="K14" s="20">
        <f>[1]目标拆解!J31</f>
        <v>2398.45261121857</v>
      </c>
      <c r="L14" s="20">
        <f>[1]目标拆解!K31</f>
        <v>2321.083172147</v>
      </c>
      <c r="M14" s="20">
        <f>[1]目标拆解!L31</f>
        <v>2398.45261121857</v>
      </c>
      <c r="N14" s="20">
        <f>[1]目标拆解!M31</f>
        <v>1199.22630560928</v>
      </c>
      <c r="O14" s="38">
        <f t="shared" ref="O14:O19" si="3">SUM(C14:N14)</f>
        <v>21276.5957446808</v>
      </c>
    </row>
    <row r="15" ht="15.6" spans="1:15">
      <c r="A15" s="14"/>
      <c r="B15" s="12" t="s">
        <v>31</v>
      </c>
      <c r="C15" s="12">
        <f>'[1]月度数据汇总--女装'!C5</f>
        <v>481</v>
      </c>
      <c r="D15" s="12">
        <f>'[1]月度数据汇总--女装'!D5</f>
        <v>2002</v>
      </c>
      <c r="E15" s="12">
        <f>'[1]月度数据汇总--女装'!E5</f>
        <v>1121</v>
      </c>
      <c r="F15" s="12">
        <f>'[1]月度数据汇总--女装'!F5</f>
        <v>1147</v>
      </c>
      <c r="G15" s="12">
        <f>'[1]月度数据汇总--女装'!G5</f>
        <v>510</v>
      </c>
      <c r="H15" s="12">
        <f>'[1]月度数据汇总--女装'!H5</f>
        <v>0</v>
      </c>
      <c r="I15" s="12">
        <f>'[1]月度数据汇总--女装'!I5</f>
        <v>0</v>
      </c>
      <c r="J15" s="12">
        <f>'[1]月度数据汇总--女装'!J5</f>
        <v>0</v>
      </c>
      <c r="K15" s="12">
        <f>'[1]月度数据汇总--女装'!K5</f>
        <v>0</v>
      </c>
      <c r="L15" s="12">
        <f>'[1]月度数据汇总--女装'!L5</f>
        <v>0</v>
      </c>
      <c r="M15" s="12">
        <f>'[1]月度数据汇总--女装'!M5</f>
        <v>0</v>
      </c>
      <c r="N15" s="12">
        <f>'[1]月度数据汇总--女装'!N5</f>
        <v>0</v>
      </c>
      <c r="O15" s="12">
        <f t="shared" si="3"/>
        <v>5261</v>
      </c>
    </row>
    <row r="16" ht="15.6" spans="1:15">
      <c r="A16" s="14"/>
      <c r="B16" s="1" t="s">
        <v>32</v>
      </c>
      <c r="C16" s="15">
        <f t="shared" ref="C16:O16" si="4">C15/C14</f>
        <v>1.33219821428571</v>
      </c>
      <c r="D16" s="15">
        <f t="shared" si="4"/>
        <v>2.50411451612903</v>
      </c>
      <c r="E16" s="15">
        <f t="shared" si="4"/>
        <v>0.724446250000002</v>
      </c>
      <c r="F16" s="15">
        <f t="shared" si="4"/>
        <v>0.717337500000003</v>
      </c>
      <c r="G16" s="15">
        <f t="shared" si="4"/>
        <v>0.329587500000001</v>
      </c>
      <c r="H16" s="15">
        <f t="shared" si="4"/>
        <v>0</v>
      </c>
      <c r="I16" s="15">
        <f t="shared" si="4"/>
        <v>0</v>
      </c>
      <c r="J16" s="15">
        <f t="shared" si="4"/>
        <v>0</v>
      </c>
      <c r="K16" s="15">
        <f t="shared" si="4"/>
        <v>0</v>
      </c>
      <c r="L16" s="15">
        <f t="shared" si="4"/>
        <v>0</v>
      </c>
      <c r="M16" s="15">
        <f t="shared" si="4"/>
        <v>0</v>
      </c>
      <c r="N16" s="15">
        <f t="shared" si="4"/>
        <v>0</v>
      </c>
      <c r="O16" s="15">
        <f t="shared" si="4"/>
        <v>0.247267</v>
      </c>
    </row>
    <row r="17" ht="15.6" spans="1:15">
      <c r="A17" s="14"/>
      <c r="B17" s="17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32"/>
    </row>
    <row r="18" ht="15.6" spans="1:15">
      <c r="A18" s="21"/>
      <c r="B18" s="22" t="s">
        <v>33</v>
      </c>
      <c r="C18" s="22">
        <f>[1]目标拆解!B21</f>
        <v>8484848.4848485</v>
      </c>
      <c r="D18" s="22">
        <f>[1]目标拆解!C21</f>
        <v>18787878.7878789</v>
      </c>
      <c r="E18" s="22">
        <f>[1]目标拆解!D21</f>
        <v>36363636.3636363</v>
      </c>
      <c r="F18" s="22">
        <f>[1]目标拆解!E21</f>
        <v>37575757.5757575</v>
      </c>
      <c r="G18" s="22">
        <f>[1]目标拆解!F21</f>
        <v>36363636.3636363</v>
      </c>
      <c r="H18" s="22">
        <f>[1]目标拆解!G21</f>
        <v>37575757.5757575</v>
      </c>
      <c r="I18" s="22">
        <f>[1]目标拆解!H21</f>
        <v>65757575.757576</v>
      </c>
      <c r="J18" s="22">
        <f>[1]目标拆解!I21</f>
        <v>63636363.6363635</v>
      </c>
      <c r="K18" s="22">
        <f>[1]目标拆解!J21</f>
        <v>56363636.3636365</v>
      </c>
      <c r="L18" s="22">
        <f>[1]目标拆解!K21</f>
        <v>54545454.5454545</v>
      </c>
      <c r="M18" s="22">
        <f>[1]目标拆解!L21</f>
        <v>56363636.3636365</v>
      </c>
      <c r="N18" s="22">
        <f>[1]目标拆解!M21</f>
        <v>28181818.1818181</v>
      </c>
      <c r="O18" s="34">
        <f t="shared" si="3"/>
        <v>500000000</v>
      </c>
    </row>
    <row r="19" ht="15.6" spans="1:15">
      <c r="A19" s="21"/>
      <c r="B19" s="23" t="s">
        <v>34</v>
      </c>
      <c r="C19" s="23">
        <f>'[1]月度数据汇总--女装'!C6</f>
        <v>13160868</v>
      </c>
      <c r="D19" s="23">
        <f>'[1]月度数据汇总--女装'!D6</f>
        <v>52320625</v>
      </c>
      <c r="E19" s="23">
        <f>'[1]月度数据汇总--女装'!E6</f>
        <v>29482199</v>
      </c>
      <c r="F19" s="23">
        <f>'[1]月度数据汇总--女装'!F6</f>
        <v>32616432</v>
      </c>
      <c r="G19" s="23">
        <f>'[1]月度数据汇总--女装'!G6</f>
        <v>11981910</v>
      </c>
      <c r="H19" s="23">
        <f>'[1]月度数据汇总--女装'!H6</f>
        <v>0</v>
      </c>
      <c r="I19" s="23">
        <f>'[1]月度数据汇总--女装'!I6</f>
        <v>0</v>
      </c>
      <c r="J19" s="23">
        <f>'[1]月度数据汇总--女装'!J6</f>
        <v>0</v>
      </c>
      <c r="K19" s="23">
        <f>'[1]月度数据汇总--女装'!K6</f>
        <v>0</v>
      </c>
      <c r="L19" s="23">
        <f>'[1]月度数据汇总--女装'!L6</f>
        <v>0</v>
      </c>
      <c r="M19" s="23">
        <f>'[1]月度数据汇总--女装'!M6</f>
        <v>0</v>
      </c>
      <c r="N19" s="23">
        <f>'[1]月度数据汇总--女装'!N6</f>
        <v>0</v>
      </c>
      <c r="O19" s="23">
        <f t="shared" si="3"/>
        <v>139562034</v>
      </c>
    </row>
    <row r="20" ht="15.6" spans="1:15">
      <c r="A20" s="14"/>
      <c r="B20" s="1" t="s">
        <v>35</v>
      </c>
      <c r="C20" s="15">
        <f t="shared" ref="C20:O20" si="5">C19/C18</f>
        <v>1.5511023</v>
      </c>
      <c r="D20" s="15">
        <f t="shared" si="5"/>
        <v>2.7848074596774</v>
      </c>
      <c r="E20" s="15">
        <f t="shared" si="5"/>
        <v>0.810760472500001</v>
      </c>
      <c r="F20" s="15">
        <f t="shared" si="5"/>
        <v>0.868017948387098</v>
      </c>
      <c r="G20" s="15">
        <f t="shared" si="5"/>
        <v>0.329502525000001</v>
      </c>
      <c r="H20" s="15">
        <f t="shared" si="5"/>
        <v>0</v>
      </c>
      <c r="I20" s="15">
        <f t="shared" si="5"/>
        <v>0</v>
      </c>
      <c r="J20" s="15">
        <f t="shared" si="5"/>
        <v>0</v>
      </c>
      <c r="K20" s="15">
        <f t="shared" si="5"/>
        <v>0</v>
      </c>
      <c r="L20" s="15">
        <f t="shared" si="5"/>
        <v>0</v>
      </c>
      <c r="M20" s="15">
        <f t="shared" si="5"/>
        <v>0</v>
      </c>
      <c r="N20" s="15">
        <f t="shared" si="5"/>
        <v>0</v>
      </c>
      <c r="O20" s="15">
        <f t="shared" si="5"/>
        <v>0.279124068</v>
      </c>
    </row>
    <row r="21" ht="15.6" spans="1:15">
      <c r="A21" s="14"/>
      <c r="B21" s="17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32"/>
    </row>
    <row r="22" ht="15.6" spans="1:15">
      <c r="A22" s="14"/>
      <c r="B22" s="1" t="s">
        <v>36</v>
      </c>
      <c r="C22" s="24">
        <f>[1]目标拆解!B23</f>
        <v>135757.575757576</v>
      </c>
      <c r="D22" s="24">
        <f>[1]目标拆解!C23</f>
        <v>300606.060606061</v>
      </c>
      <c r="E22" s="24">
        <f>[1]目标拆解!D23</f>
        <v>581818.181818181</v>
      </c>
      <c r="F22" s="24">
        <f>[1]目标拆解!E23</f>
        <v>601212.12121212</v>
      </c>
      <c r="G22" s="24">
        <f>[1]目标拆解!F23</f>
        <v>581818.181818181</v>
      </c>
      <c r="H22" s="24">
        <f>[1]目标拆解!G23</f>
        <v>601212.12121212</v>
      </c>
      <c r="I22" s="24">
        <f>[1]目标拆解!H23</f>
        <v>1052121.21212121</v>
      </c>
      <c r="J22" s="24">
        <f>[1]目标拆解!I23</f>
        <v>1018181.81818182</v>
      </c>
      <c r="K22" s="24">
        <f>[1]目标拆解!J23</f>
        <v>901818.181818182</v>
      </c>
      <c r="L22" s="24">
        <f>[1]目标拆解!K23</f>
        <v>872727.27272727</v>
      </c>
      <c r="M22" s="24">
        <f>[1]目标拆解!L23</f>
        <v>901818.181818182</v>
      </c>
      <c r="N22" s="24">
        <f>[1]目标拆解!M23</f>
        <v>450909.090909089</v>
      </c>
      <c r="O22" s="31">
        <f>SUM(C22:N22)</f>
        <v>7999999.99999999</v>
      </c>
    </row>
    <row r="23" ht="15.6" spans="1:15">
      <c r="A23" s="14"/>
      <c r="B23" s="12" t="s">
        <v>37</v>
      </c>
      <c r="C23" s="25">
        <f>'[1]月度数据汇总--女装'!C7</f>
        <v>197473.98</v>
      </c>
      <c r="D23" s="25">
        <f>'[1]月度数据汇总--女装'!D7</f>
        <v>878014.15</v>
      </c>
      <c r="E23" s="25">
        <f>'[1]月度数据汇总--女装'!E7</f>
        <v>493495.3</v>
      </c>
      <c r="F23" s="25">
        <f>'[1]月度数据汇总--女装'!F7</f>
        <v>550489.45</v>
      </c>
      <c r="G23" s="25">
        <f>'[1]月度数据汇总--女装'!G7</f>
        <v>238074.01</v>
      </c>
      <c r="H23" s="25">
        <f>'[1]月度数据汇总--女装'!H7</f>
        <v>0</v>
      </c>
      <c r="I23" s="25">
        <f>'[1]月度数据汇总--女装'!I7</f>
        <v>0</v>
      </c>
      <c r="J23" s="25">
        <f>'[1]月度数据汇总--女装'!J7</f>
        <v>0</v>
      </c>
      <c r="K23" s="25">
        <f>'[1]月度数据汇总--女装'!K7</f>
        <v>0</v>
      </c>
      <c r="L23" s="25">
        <f>'[1]月度数据汇总--女装'!L7</f>
        <v>0</v>
      </c>
      <c r="M23" s="25">
        <f>'[1]月度数据汇总--女装'!M7</f>
        <v>0</v>
      </c>
      <c r="N23" s="25">
        <f>'[1]月度数据汇总--女装'!N7</f>
        <v>0</v>
      </c>
      <c r="O23" s="13">
        <f>SUM(C23:N23)</f>
        <v>2357546.89</v>
      </c>
    </row>
    <row r="24" ht="15.6" spans="1:15">
      <c r="A24" s="14"/>
      <c r="B24" s="1" t="s">
        <v>38</v>
      </c>
      <c r="C24" s="15">
        <f t="shared" ref="C24:O24" si="6">C23/C22</f>
        <v>1.45460744196428</v>
      </c>
      <c r="D24" s="15">
        <f t="shared" si="6"/>
        <v>2.92081320060483</v>
      </c>
      <c r="E24" s="15">
        <f t="shared" si="6"/>
        <v>0.848195046875001</v>
      </c>
      <c r="F24" s="15">
        <f t="shared" si="6"/>
        <v>0.91563265372984</v>
      </c>
      <c r="G24" s="15">
        <f t="shared" si="6"/>
        <v>0.409189704687501</v>
      </c>
      <c r="H24" s="15">
        <f t="shared" si="6"/>
        <v>0</v>
      </c>
      <c r="I24" s="15">
        <f t="shared" si="6"/>
        <v>0</v>
      </c>
      <c r="J24" s="15">
        <f t="shared" si="6"/>
        <v>0</v>
      </c>
      <c r="K24" s="15">
        <f t="shared" si="6"/>
        <v>0</v>
      </c>
      <c r="L24" s="15">
        <f t="shared" si="6"/>
        <v>0</v>
      </c>
      <c r="M24" s="15">
        <f t="shared" si="6"/>
        <v>0</v>
      </c>
      <c r="N24" s="15">
        <f t="shared" si="6"/>
        <v>0</v>
      </c>
      <c r="O24" s="15">
        <f t="shared" si="6"/>
        <v>0.29469336125</v>
      </c>
    </row>
    <row r="25" ht="15.6" spans="1:15">
      <c r="A25" s="14"/>
      <c r="B25" s="17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32"/>
    </row>
    <row r="26" ht="15.6" spans="1:15">
      <c r="A26" s="14"/>
      <c r="B26" s="1" t="s">
        <v>39</v>
      </c>
      <c r="C26" s="15">
        <f t="shared" ref="C26:O26" si="7">1-C23*12.5/(C19)</f>
        <v>0.812442101083302</v>
      </c>
      <c r="D26" s="15">
        <f t="shared" si="7"/>
        <v>0.790232305615615</v>
      </c>
      <c r="E26" s="15">
        <f t="shared" si="7"/>
        <v>0.790765565010941</v>
      </c>
      <c r="F26" s="15">
        <f t="shared" si="7"/>
        <v>0.789029096591559</v>
      </c>
      <c r="G26" s="15">
        <f t="shared" si="7"/>
        <v>0.751631824558856</v>
      </c>
      <c r="H26" s="15" t="e">
        <f t="shared" si="7"/>
        <v>#DIV/0!</v>
      </c>
      <c r="I26" s="15" t="e">
        <f t="shared" si="7"/>
        <v>#DIV/0!</v>
      </c>
      <c r="J26" s="15" t="e">
        <f t="shared" si="7"/>
        <v>#DIV/0!</v>
      </c>
      <c r="K26" s="15" t="e">
        <f t="shared" si="7"/>
        <v>#DIV/0!</v>
      </c>
      <c r="L26" s="15" t="e">
        <f t="shared" si="7"/>
        <v>#DIV/0!</v>
      </c>
      <c r="M26" s="15" t="e">
        <f t="shared" si="7"/>
        <v>#DIV/0!</v>
      </c>
      <c r="N26" s="15" t="e">
        <f t="shared" si="7"/>
        <v>#DIV/0!</v>
      </c>
      <c r="O26" s="15">
        <f t="shared" si="7"/>
        <v>0.788844177170705</v>
      </c>
    </row>
    <row r="27" ht="15.6" spans="1:15">
      <c r="A27" s="14"/>
      <c r="B27" s="1" t="s">
        <v>40</v>
      </c>
      <c r="C27" s="15">
        <f t="shared" ref="C27:O27" si="8">1-C15/C11</f>
        <v>0.796359017781541</v>
      </c>
      <c r="D27" s="15">
        <f t="shared" si="8"/>
        <v>0.797614233724222</v>
      </c>
      <c r="E27" s="15">
        <f t="shared" si="8"/>
        <v>0.81939745448687</v>
      </c>
      <c r="F27" s="15">
        <f t="shared" si="8"/>
        <v>0.809815950920245</v>
      </c>
      <c r="G27" s="15">
        <f t="shared" si="8"/>
        <v>0.794603302456706</v>
      </c>
      <c r="H27" s="15" t="e">
        <f t="shared" si="8"/>
        <v>#DIV/0!</v>
      </c>
      <c r="I27" s="15" t="e">
        <f t="shared" si="8"/>
        <v>#DIV/0!</v>
      </c>
      <c r="J27" s="15" t="e">
        <f t="shared" si="8"/>
        <v>#DIV/0!</v>
      </c>
      <c r="K27" s="15" t="e">
        <f t="shared" si="8"/>
        <v>#DIV/0!</v>
      </c>
      <c r="L27" s="15" t="e">
        <f t="shared" si="8"/>
        <v>#DIV/0!</v>
      </c>
      <c r="M27" s="15" t="e">
        <f t="shared" si="8"/>
        <v>#DIV/0!</v>
      </c>
      <c r="N27" s="15" t="e">
        <f t="shared" si="8"/>
        <v>#DIV/0!</v>
      </c>
      <c r="O27" s="15">
        <f t="shared" si="8"/>
        <v>0.804967562557924</v>
      </c>
    </row>
    <row r="28" ht="15.6" spans="1:15">
      <c r="A28" s="14"/>
      <c r="B28" s="1" t="s">
        <v>41</v>
      </c>
      <c r="C28" s="15">
        <f t="shared" ref="C28:O28" si="9">C7/(C23)</f>
        <v>-0.0341343705130164</v>
      </c>
      <c r="D28" s="15">
        <f t="shared" si="9"/>
        <v>0.12176467771049</v>
      </c>
      <c r="E28" s="15">
        <f t="shared" si="9"/>
        <v>0.0208784561879313</v>
      </c>
      <c r="F28" s="15">
        <f t="shared" si="9"/>
        <v>0.0493765865994344</v>
      </c>
      <c r="G28" s="15">
        <f t="shared" si="9"/>
        <v>-0.0575440385113856</v>
      </c>
      <c r="H28" s="15" t="e">
        <f t="shared" si="9"/>
        <v>#DIV/0!</v>
      </c>
      <c r="I28" s="15" t="e">
        <f t="shared" si="9"/>
        <v>#DIV/0!</v>
      </c>
      <c r="J28" s="15" t="e">
        <f t="shared" si="9"/>
        <v>#DIV/0!</v>
      </c>
      <c r="K28" s="15" t="e">
        <f t="shared" si="9"/>
        <v>#DIV/0!</v>
      </c>
      <c r="L28" s="15" t="e">
        <f t="shared" si="9"/>
        <v>#DIV/0!</v>
      </c>
      <c r="M28" s="15" t="e">
        <f t="shared" si="9"/>
        <v>#DIV/0!</v>
      </c>
      <c r="N28" s="15" t="e">
        <f t="shared" si="9"/>
        <v>#DIV/0!</v>
      </c>
      <c r="O28" s="15">
        <f t="shared" si="9"/>
        <v>0.052578139813796</v>
      </c>
    </row>
    <row r="29" ht="15.6" spans="1:15">
      <c r="A29" s="26"/>
      <c r="B29" s="17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32"/>
    </row>
  </sheetData>
  <mergeCells count="16">
    <mergeCell ref="A1:O1"/>
    <mergeCell ref="C3:E3"/>
    <mergeCell ref="F3:H3"/>
    <mergeCell ref="I3:K3"/>
    <mergeCell ref="L3:N3"/>
    <mergeCell ref="C4:E4"/>
    <mergeCell ref="F4:H4"/>
    <mergeCell ref="I4:K4"/>
    <mergeCell ref="L4:N4"/>
    <mergeCell ref="C5:E5"/>
    <mergeCell ref="F5:H5"/>
    <mergeCell ref="I5:K5"/>
    <mergeCell ref="L5:N5"/>
    <mergeCell ref="A2:A5"/>
    <mergeCell ref="A6:A29"/>
    <mergeCell ref="O2:O5"/>
  </mergeCells>
  <conditionalFormatting sqref="B8:O8 B12:O12 B16:O16 B20:O20 B24:O24 B26:O2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{714db6b9-3c84-4ebc-a780-d4747a9f38b8}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14db6b9-3c84-4ebc-a780-d4747a9f38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B8:O8 B12:O12 B16:O16 B20:O20 B24:O24 B26:O28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"/>
  <sheetViews>
    <sheetView workbookViewId="0">
      <selection activeCell="E35" sqref="E35"/>
    </sheetView>
  </sheetViews>
  <sheetFormatPr defaultColWidth="13.8888888888889" defaultRowHeight="14.4"/>
  <cols>
    <col min="1" max="1" width="13.8888888888889" customWidth="1"/>
    <col min="2" max="2" width="20.8888888888889" customWidth="1"/>
    <col min="3" max="14" width="13.8888888888889" customWidth="1"/>
    <col min="15" max="15" width="16.8888888888889" customWidth="1"/>
    <col min="16" max="16384" width="13.8888888888889" customWidth="1"/>
  </cols>
  <sheetData>
    <row r="1" ht="15.6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5.6" spans="1:1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3" t="s">
        <v>7</v>
      </c>
      <c r="H2" s="3" t="s">
        <v>8</v>
      </c>
      <c r="I2" s="27" t="s">
        <v>9</v>
      </c>
      <c r="J2" s="27" t="s">
        <v>10</v>
      </c>
      <c r="K2" s="27" t="s">
        <v>11</v>
      </c>
      <c r="L2" s="28" t="s">
        <v>12</v>
      </c>
      <c r="M2" s="28" t="s">
        <v>13</v>
      </c>
      <c r="N2" s="28" t="s">
        <v>14</v>
      </c>
      <c r="O2" s="1" t="s">
        <v>15</v>
      </c>
    </row>
    <row r="3" ht="15.6" spans="1:15">
      <c r="A3" s="1"/>
      <c r="B3" s="1" t="s">
        <v>16</v>
      </c>
      <c r="C3" s="2" t="s">
        <v>17</v>
      </c>
      <c r="D3" s="2"/>
      <c r="E3" s="2"/>
      <c r="F3" s="3" t="s">
        <v>18</v>
      </c>
      <c r="G3" s="3"/>
      <c r="H3" s="3"/>
      <c r="I3" s="27" t="s">
        <v>19</v>
      </c>
      <c r="J3" s="27"/>
      <c r="K3" s="27"/>
      <c r="L3" s="28" t="s">
        <v>20</v>
      </c>
      <c r="M3" s="28"/>
      <c r="N3" s="28"/>
      <c r="O3" s="1"/>
    </row>
    <row r="4" ht="15.6" spans="1:15">
      <c r="A4" s="1"/>
      <c r="B4" s="1" t="s">
        <v>21</v>
      </c>
      <c r="C4" s="4">
        <f>(C7+D7+E7)</f>
        <v>0</v>
      </c>
      <c r="D4" s="4"/>
      <c r="E4" s="4"/>
      <c r="F4" s="3">
        <f>(F7+G7+H7)</f>
        <v>0</v>
      </c>
      <c r="G4" s="3"/>
      <c r="H4" s="3"/>
      <c r="I4" s="27">
        <f>(I7+J7+K7)</f>
        <v>0</v>
      </c>
      <c r="J4" s="27"/>
      <c r="K4" s="27"/>
      <c r="L4" s="28">
        <f>(L7+M7+N7)</f>
        <v>0</v>
      </c>
      <c r="M4" s="28"/>
      <c r="N4" s="28"/>
      <c r="O4" s="1"/>
    </row>
    <row r="5" ht="15.6" spans="1:15">
      <c r="A5" s="5"/>
      <c r="B5" s="5" t="s">
        <v>22</v>
      </c>
      <c r="C5" s="6" t="e">
        <f>(C7+D7+E7)/(C6+D6+E6)</f>
        <v>#DIV/0!</v>
      </c>
      <c r="D5" s="6"/>
      <c r="E5" s="6"/>
      <c r="F5" s="7" t="e">
        <f>(F7+G7+H7)/(F6+G6+H6)</f>
        <v>#DIV/0!</v>
      </c>
      <c r="G5" s="7"/>
      <c r="H5" s="7"/>
      <c r="I5" s="29">
        <f>(I7+J7+K7)/(I6+J6+K6)</f>
        <v>0</v>
      </c>
      <c r="J5" s="29"/>
      <c r="K5" s="29"/>
      <c r="L5" s="30">
        <f>(L7+M7+N7)/(L6+M6+N6)</f>
        <v>0</v>
      </c>
      <c r="M5" s="30"/>
      <c r="N5" s="30"/>
      <c r="O5" s="5"/>
    </row>
    <row r="6" ht="31.2" spans="1:15">
      <c r="A6" s="8" t="s">
        <v>23</v>
      </c>
      <c r="B6" s="9" t="s">
        <v>24</v>
      </c>
      <c r="C6" s="10">
        <f>[1]目标拆解!B59</f>
        <v>0</v>
      </c>
      <c r="D6" s="10">
        <f>[1]目标拆解!C59</f>
        <v>0</v>
      </c>
      <c r="E6" s="10">
        <f>[1]目标拆解!D59</f>
        <v>0</v>
      </c>
      <c r="F6" s="10">
        <f>[1]目标拆解!E59</f>
        <v>0</v>
      </c>
      <c r="G6" s="10">
        <f>[1]目标拆解!F59</f>
        <v>0</v>
      </c>
      <c r="H6" s="10">
        <f>[1]目标拆解!G59</f>
        <v>0</v>
      </c>
      <c r="I6" s="10">
        <f>[1]目标拆解!H59</f>
        <v>0</v>
      </c>
      <c r="J6" s="10">
        <f>[1]目标拆解!I59</f>
        <v>45000</v>
      </c>
      <c r="K6" s="10">
        <f>[1]目标拆解!J59</f>
        <v>60000</v>
      </c>
      <c r="L6" s="10">
        <f>[1]目标拆解!K59</f>
        <v>75000</v>
      </c>
      <c r="M6" s="10">
        <f>[1]目标拆解!L59</f>
        <v>75000</v>
      </c>
      <c r="N6" s="10">
        <f>[1]目标拆解!M59</f>
        <v>45000</v>
      </c>
      <c r="O6" s="31">
        <f t="shared" ref="O6:O11" si="0">SUM(C6:N6)</f>
        <v>300000</v>
      </c>
    </row>
    <row r="7" ht="15.6" spans="1:15">
      <c r="A7" s="11"/>
      <c r="B7" s="12" t="s">
        <v>25</v>
      </c>
      <c r="C7" s="13">
        <f>'[1]月度数据汇总--女装'!C13</f>
        <v>0</v>
      </c>
      <c r="D7" s="13">
        <f>'[1]月度数据汇总--女装'!D13</f>
        <v>0</v>
      </c>
      <c r="E7" s="13">
        <f>'[1]月度数据汇总--女装'!E13</f>
        <v>0</v>
      </c>
      <c r="F7" s="13">
        <f>'[1]月度数据汇总--女装'!F13</f>
        <v>0</v>
      </c>
      <c r="G7" s="13">
        <f>'[1]月度数据汇总--女装'!G13</f>
        <v>0</v>
      </c>
      <c r="H7" s="13">
        <f>'[1]月度数据汇总--女装'!H13</f>
        <v>0</v>
      </c>
      <c r="I7" s="13">
        <f>'[1]月度数据汇总--女装'!I13</f>
        <v>0</v>
      </c>
      <c r="J7" s="13">
        <f>'[1]月度数据汇总--女装'!J13</f>
        <v>0</v>
      </c>
      <c r="K7" s="13">
        <f>'[1]月度数据汇总--女装'!K13</f>
        <v>0</v>
      </c>
      <c r="L7" s="13">
        <f>'[1]月度数据汇总--女装'!L13</f>
        <v>0</v>
      </c>
      <c r="M7" s="13">
        <f>'[1]月度数据汇总--女装'!M13</f>
        <v>0</v>
      </c>
      <c r="N7" s="13">
        <f>'[1]月度数据汇总--女装'!N13</f>
        <v>0</v>
      </c>
      <c r="O7" s="13">
        <f t="shared" si="0"/>
        <v>0</v>
      </c>
    </row>
    <row r="8" ht="15.6" spans="1:15">
      <c r="A8" s="14"/>
      <c r="B8" s="1" t="s">
        <v>26</v>
      </c>
      <c r="C8" s="15" t="e">
        <f t="shared" ref="C8:O8" si="1">C7/C6</f>
        <v>#DIV/0!</v>
      </c>
      <c r="D8" s="15" t="e">
        <f t="shared" si="1"/>
        <v>#DIV/0!</v>
      </c>
      <c r="E8" s="15" t="e">
        <f t="shared" si="1"/>
        <v>#DIV/0!</v>
      </c>
      <c r="F8" s="15" t="e">
        <f t="shared" si="1"/>
        <v>#DIV/0!</v>
      </c>
      <c r="G8" s="15" t="e">
        <f t="shared" si="1"/>
        <v>#DIV/0!</v>
      </c>
      <c r="H8" s="15" t="e">
        <f t="shared" si="1"/>
        <v>#DIV/0!</v>
      </c>
      <c r="I8" s="15" t="e">
        <f t="shared" si="1"/>
        <v>#DIV/0!</v>
      </c>
      <c r="J8" s="15">
        <f t="shared" si="1"/>
        <v>0</v>
      </c>
      <c r="K8" s="15">
        <f t="shared" si="1"/>
        <v>0</v>
      </c>
      <c r="L8" s="15">
        <f t="shared" si="1"/>
        <v>0</v>
      </c>
      <c r="M8" s="15">
        <f t="shared" si="1"/>
        <v>0</v>
      </c>
      <c r="N8" s="15">
        <f t="shared" si="1"/>
        <v>0</v>
      </c>
      <c r="O8" s="15">
        <f t="shared" si="1"/>
        <v>0</v>
      </c>
    </row>
    <row r="9" ht="15.6" spans="1:15">
      <c r="A9" s="16"/>
      <c r="B9" s="17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32"/>
    </row>
    <row r="10" ht="15.6" spans="1:15">
      <c r="A10" s="14"/>
      <c r="B10" s="1" t="s">
        <v>27</v>
      </c>
      <c r="C10" s="19">
        <f>[1]目标拆解!B63</f>
        <v>0</v>
      </c>
      <c r="D10" s="19">
        <f>[1]目标拆解!C63</f>
        <v>0</v>
      </c>
      <c r="E10" s="19">
        <f>[1]目标拆解!D63</f>
        <v>0</v>
      </c>
      <c r="F10" s="19">
        <f>[1]目标拆解!E63</f>
        <v>0</v>
      </c>
      <c r="G10" s="19">
        <f>[1]目标拆解!F63</f>
        <v>0</v>
      </c>
      <c r="H10" s="19">
        <f>[1]目标拆解!G63</f>
        <v>0</v>
      </c>
      <c r="I10" s="19">
        <f>[1]目标拆解!H63</f>
        <v>0</v>
      </c>
      <c r="J10" s="19">
        <f>[1]目标拆解!I63</f>
        <v>5699.08814589666</v>
      </c>
      <c r="K10" s="19">
        <f>[1]目标拆解!J63</f>
        <v>7598.78419452888</v>
      </c>
      <c r="L10" s="19">
        <f>[1]目标拆解!K63</f>
        <v>9498.4802431611</v>
      </c>
      <c r="M10" s="19">
        <f>[1]目标拆解!L63</f>
        <v>9498.4802431611</v>
      </c>
      <c r="N10" s="19">
        <f>[1]目标拆解!M63</f>
        <v>5699.08814589666</v>
      </c>
      <c r="O10" s="33">
        <f t="shared" si="0"/>
        <v>37993.9209726444</v>
      </c>
    </row>
    <row r="11" ht="15.6" spans="1:15">
      <c r="A11" s="14"/>
      <c r="B11" s="12" t="s">
        <v>28</v>
      </c>
      <c r="C11" s="12">
        <f>'[1]月度数据汇总--女装'!C14</f>
        <v>0</v>
      </c>
      <c r="D11" s="12">
        <f>'[1]月度数据汇总--女装'!D14</f>
        <v>0</v>
      </c>
      <c r="E11" s="12">
        <f>'[1]月度数据汇总--女装'!E14</f>
        <v>0</v>
      </c>
      <c r="F11" s="12">
        <f>'[1]月度数据汇总--女装'!F14</f>
        <v>0</v>
      </c>
      <c r="G11" s="12">
        <f>'[1]月度数据汇总--女装'!G14</f>
        <v>0</v>
      </c>
      <c r="H11" s="12">
        <f>'[1]月度数据汇总--女装'!H14</f>
        <v>0</v>
      </c>
      <c r="I11" s="12">
        <f>'[1]月度数据汇总--女装'!I14</f>
        <v>0</v>
      </c>
      <c r="J11" s="12">
        <f>'[1]月度数据汇总--女装'!J14</f>
        <v>0</v>
      </c>
      <c r="K11" s="12">
        <f>'[1]月度数据汇总--女装'!K14</f>
        <v>0</v>
      </c>
      <c r="L11" s="12">
        <f>'[1]月度数据汇总--女装'!L14</f>
        <v>0</v>
      </c>
      <c r="M11" s="12">
        <f>'[1]月度数据汇总--女装'!M14</f>
        <v>0</v>
      </c>
      <c r="N11" s="12">
        <f>'[1]月度数据汇总--女装'!N14</f>
        <v>0</v>
      </c>
      <c r="O11" s="12">
        <f t="shared" si="0"/>
        <v>0</v>
      </c>
    </row>
    <row r="12" ht="15.6" spans="1:15">
      <c r="A12" s="14"/>
      <c r="B12" s="1" t="s">
        <v>29</v>
      </c>
      <c r="C12" s="15" t="e">
        <f t="shared" ref="C12:O12" si="2">C11/C10</f>
        <v>#DIV/0!</v>
      </c>
      <c r="D12" s="15" t="e">
        <f t="shared" si="2"/>
        <v>#DIV/0!</v>
      </c>
      <c r="E12" s="15" t="e">
        <f t="shared" si="2"/>
        <v>#DIV/0!</v>
      </c>
      <c r="F12" s="15" t="e">
        <f t="shared" si="2"/>
        <v>#DIV/0!</v>
      </c>
      <c r="G12" s="15" t="e">
        <f t="shared" si="2"/>
        <v>#DIV/0!</v>
      </c>
      <c r="H12" s="15" t="e">
        <f t="shared" si="2"/>
        <v>#DIV/0!</v>
      </c>
      <c r="I12" s="15" t="e">
        <f t="shared" si="2"/>
        <v>#DIV/0!</v>
      </c>
      <c r="J12" s="15">
        <f t="shared" si="2"/>
        <v>0</v>
      </c>
      <c r="K12" s="15">
        <f t="shared" si="2"/>
        <v>0</v>
      </c>
      <c r="L12" s="15">
        <f t="shared" si="2"/>
        <v>0</v>
      </c>
      <c r="M12" s="15">
        <f t="shared" si="2"/>
        <v>0</v>
      </c>
      <c r="N12" s="15">
        <f t="shared" si="2"/>
        <v>0</v>
      </c>
      <c r="O12" s="15">
        <f t="shared" si="2"/>
        <v>0</v>
      </c>
    </row>
    <row r="13" ht="15.6" spans="1:15">
      <c r="A13" s="14"/>
      <c r="B13" s="17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32"/>
    </row>
    <row r="14" ht="15.6" spans="1:15">
      <c r="A14" s="14"/>
      <c r="B14" s="1" t="s">
        <v>30</v>
      </c>
      <c r="C14" s="20">
        <f>[1]目标拆解!B65</f>
        <v>0</v>
      </c>
      <c r="D14" s="20">
        <f>[1]目标拆解!C65</f>
        <v>0</v>
      </c>
      <c r="E14" s="20">
        <f>[1]目标拆解!D65</f>
        <v>0</v>
      </c>
      <c r="F14" s="20">
        <f>[1]目标拆解!E65</f>
        <v>0</v>
      </c>
      <c r="G14" s="20">
        <f>[1]目标拆解!F65</f>
        <v>0</v>
      </c>
      <c r="H14" s="20">
        <f>[1]目标拆解!G65</f>
        <v>0</v>
      </c>
      <c r="I14" s="20">
        <f>[1]目标拆解!H65</f>
        <v>0</v>
      </c>
      <c r="J14" s="20">
        <f>[1]目标拆解!I65</f>
        <v>1196.8085106383</v>
      </c>
      <c r="K14" s="20">
        <f>[1]目标拆解!J65</f>
        <v>1595.74468085106</v>
      </c>
      <c r="L14" s="20">
        <f>[1]目标拆解!K65</f>
        <v>1994.68085106383</v>
      </c>
      <c r="M14" s="20">
        <f>[1]目标拆解!L65</f>
        <v>1994.68085106383</v>
      </c>
      <c r="N14" s="20">
        <f>[1]目标拆解!M65</f>
        <v>1196.8085106383</v>
      </c>
      <c r="O14" s="33">
        <f t="shared" ref="O14:O19" si="3">SUM(C14:N14)</f>
        <v>7978.72340425532</v>
      </c>
    </row>
    <row r="15" ht="15.6" spans="1:15">
      <c r="A15" s="14"/>
      <c r="B15" s="12" t="s">
        <v>31</v>
      </c>
      <c r="C15" s="12">
        <f>'[1]月度数据汇总--女装'!C15</f>
        <v>0</v>
      </c>
      <c r="D15" s="12">
        <f>'[1]月度数据汇总--女装'!D15</f>
        <v>0</v>
      </c>
      <c r="E15" s="12">
        <f>'[1]月度数据汇总--女装'!E15</f>
        <v>0</v>
      </c>
      <c r="F15" s="12">
        <f>'[1]月度数据汇总--女装'!F15</f>
        <v>0</v>
      </c>
      <c r="G15" s="12">
        <f>'[1]月度数据汇总--女装'!G15</f>
        <v>0</v>
      </c>
      <c r="H15" s="12">
        <f>'[1]月度数据汇总--女装'!H15</f>
        <v>0</v>
      </c>
      <c r="I15" s="12">
        <f>'[1]月度数据汇总--女装'!I15</f>
        <v>0</v>
      </c>
      <c r="J15" s="12">
        <f>'[1]月度数据汇总--女装'!J15</f>
        <v>0</v>
      </c>
      <c r="K15" s="12">
        <f>'[1]月度数据汇总--女装'!K15</f>
        <v>0</v>
      </c>
      <c r="L15" s="12">
        <f>'[1]月度数据汇总--女装'!L15</f>
        <v>0</v>
      </c>
      <c r="M15" s="12">
        <f>'[1]月度数据汇总--女装'!M15</f>
        <v>0</v>
      </c>
      <c r="N15" s="12">
        <f>'[1]月度数据汇总--女装'!N15</f>
        <v>0</v>
      </c>
      <c r="O15" s="12">
        <f t="shared" si="3"/>
        <v>0</v>
      </c>
    </row>
    <row r="16" ht="15.6" spans="1:15">
      <c r="A16" s="14"/>
      <c r="B16" s="1" t="s">
        <v>32</v>
      </c>
      <c r="C16" s="15" t="e">
        <f t="shared" ref="C16:O16" si="4">C15/C14</f>
        <v>#DIV/0!</v>
      </c>
      <c r="D16" s="15" t="e">
        <f t="shared" si="4"/>
        <v>#DIV/0!</v>
      </c>
      <c r="E16" s="15" t="e">
        <f t="shared" si="4"/>
        <v>#DIV/0!</v>
      </c>
      <c r="F16" s="15" t="e">
        <f t="shared" si="4"/>
        <v>#DIV/0!</v>
      </c>
      <c r="G16" s="15" t="e">
        <f t="shared" si="4"/>
        <v>#DIV/0!</v>
      </c>
      <c r="H16" s="15" t="e">
        <f t="shared" si="4"/>
        <v>#DIV/0!</v>
      </c>
      <c r="I16" s="15" t="e">
        <f t="shared" si="4"/>
        <v>#DIV/0!</v>
      </c>
      <c r="J16" s="15">
        <f t="shared" si="4"/>
        <v>0</v>
      </c>
      <c r="K16" s="15">
        <f t="shared" si="4"/>
        <v>0</v>
      </c>
      <c r="L16" s="15">
        <f t="shared" si="4"/>
        <v>0</v>
      </c>
      <c r="M16" s="15">
        <f t="shared" si="4"/>
        <v>0</v>
      </c>
      <c r="N16" s="15">
        <f t="shared" si="4"/>
        <v>0</v>
      </c>
      <c r="O16" s="15">
        <f t="shared" si="4"/>
        <v>0</v>
      </c>
    </row>
    <row r="17" ht="15.6" spans="1:15">
      <c r="A17" s="14"/>
      <c r="B17" s="17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32"/>
    </row>
    <row r="18" ht="15.6" spans="1:15">
      <c r="A18" s="21"/>
      <c r="B18" s="22" t="s">
        <v>33</v>
      </c>
      <c r="C18" s="22">
        <f>[1]目标拆解!B55</f>
        <v>0</v>
      </c>
      <c r="D18" s="22">
        <f>[1]目标拆解!C55</f>
        <v>0</v>
      </c>
      <c r="E18" s="22">
        <f>[1]目标拆解!D55</f>
        <v>0</v>
      </c>
      <c r="F18" s="22">
        <f>[1]目标拆解!E55</f>
        <v>0</v>
      </c>
      <c r="G18" s="22">
        <f>[1]目标拆解!F55</f>
        <v>0</v>
      </c>
      <c r="H18" s="22">
        <f>[1]目标拆解!G55</f>
        <v>0</v>
      </c>
      <c r="I18" s="22">
        <f>[1]目标拆解!H55</f>
        <v>0</v>
      </c>
      <c r="J18" s="22">
        <f>[1]目标拆解!I55</f>
        <v>26785714.2857143</v>
      </c>
      <c r="K18" s="22">
        <f>[1]目标拆解!J55</f>
        <v>35714285.7142857</v>
      </c>
      <c r="L18" s="22">
        <f>[1]目标拆解!K55</f>
        <v>44642857.1428571</v>
      </c>
      <c r="M18" s="22">
        <f>[1]目标拆解!L55</f>
        <v>44642857.1428571</v>
      </c>
      <c r="N18" s="22">
        <f>[1]目标拆解!M55</f>
        <v>26785714.2857143</v>
      </c>
      <c r="O18" s="34">
        <f t="shared" si="3"/>
        <v>178571428.571429</v>
      </c>
    </row>
    <row r="19" ht="15.6" spans="1:15">
      <c r="A19" s="21"/>
      <c r="B19" s="23" t="s">
        <v>34</v>
      </c>
      <c r="C19" s="23">
        <f>'[1]月度数据汇总--女装'!C16</f>
        <v>0</v>
      </c>
      <c r="D19" s="23">
        <f>'[1]月度数据汇总--女装'!D16</f>
        <v>0</v>
      </c>
      <c r="E19" s="23">
        <f>'[1]月度数据汇总--女装'!E16</f>
        <v>0</v>
      </c>
      <c r="F19" s="23">
        <f>'[1]月度数据汇总--女装'!F16</f>
        <v>0</v>
      </c>
      <c r="G19" s="23">
        <f>'[1]月度数据汇总--女装'!G16</f>
        <v>0</v>
      </c>
      <c r="H19" s="23">
        <f>'[1]月度数据汇总--女装'!H16</f>
        <v>0</v>
      </c>
      <c r="I19" s="23">
        <f>'[1]月度数据汇总--女装'!I16</f>
        <v>0</v>
      </c>
      <c r="J19" s="23">
        <f>'[1]月度数据汇总--女装'!J16</f>
        <v>0</v>
      </c>
      <c r="K19" s="23">
        <f>'[1]月度数据汇总--女装'!K16</f>
        <v>0</v>
      </c>
      <c r="L19" s="23">
        <f>'[1]月度数据汇总--女装'!L16</f>
        <v>0</v>
      </c>
      <c r="M19" s="23">
        <f>'[1]月度数据汇总--女装'!M16</f>
        <v>0</v>
      </c>
      <c r="N19" s="23">
        <f>'[1]月度数据汇总--女装'!N16</f>
        <v>0</v>
      </c>
      <c r="O19" s="23">
        <f t="shared" si="3"/>
        <v>0</v>
      </c>
    </row>
    <row r="20" ht="15.6" spans="1:15">
      <c r="A20" s="14"/>
      <c r="B20" s="1" t="s">
        <v>35</v>
      </c>
      <c r="C20" s="15" t="e">
        <f t="shared" ref="C20:O20" si="5">C19/C18</f>
        <v>#DIV/0!</v>
      </c>
      <c r="D20" s="15" t="e">
        <f t="shared" si="5"/>
        <v>#DIV/0!</v>
      </c>
      <c r="E20" s="15" t="e">
        <f t="shared" si="5"/>
        <v>#DIV/0!</v>
      </c>
      <c r="F20" s="15" t="e">
        <f t="shared" si="5"/>
        <v>#DIV/0!</v>
      </c>
      <c r="G20" s="15" t="e">
        <f t="shared" si="5"/>
        <v>#DIV/0!</v>
      </c>
      <c r="H20" s="15" t="e">
        <f t="shared" si="5"/>
        <v>#DIV/0!</v>
      </c>
      <c r="I20" s="15" t="e">
        <f t="shared" si="5"/>
        <v>#DIV/0!</v>
      </c>
      <c r="J20" s="15">
        <f t="shared" si="5"/>
        <v>0</v>
      </c>
      <c r="K20" s="15">
        <f t="shared" si="5"/>
        <v>0</v>
      </c>
      <c r="L20" s="15">
        <f t="shared" si="5"/>
        <v>0</v>
      </c>
      <c r="M20" s="15">
        <f t="shared" si="5"/>
        <v>0</v>
      </c>
      <c r="N20" s="15">
        <f t="shared" si="5"/>
        <v>0</v>
      </c>
      <c r="O20" s="15">
        <f t="shared" si="5"/>
        <v>0</v>
      </c>
    </row>
    <row r="21" ht="15.6" spans="1:15">
      <c r="A21" s="14"/>
      <c r="B21" s="17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32"/>
    </row>
    <row r="22" ht="15.6" spans="1:15">
      <c r="A22" s="14"/>
      <c r="B22" s="1" t="s">
        <v>36</v>
      </c>
      <c r="C22" s="24">
        <f>[1]目标拆解!B57</f>
        <v>0</v>
      </c>
      <c r="D22" s="24">
        <f>[1]目标拆解!C57</f>
        <v>0</v>
      </c>
      <c r="E22" s="24">
        <f>[1]目标拆解!D57</f>
        <v>0</v>
      </c>
      <c r="F22" s="24">
        <f>[1]目标拆解!E57</f>
        <v>0</v>
      </c>
      <c r="G22" s="24">
        <f>[1]目标拆解!F57</f>
        <v>0</v>
      </c>
      <c r="H22" s="24">
        <f>[1]目标拆解!G57</f>
        <v>0</v>
      </c>
      <c r="I22" s="24">
        <f>[1]目标拆解!H57</f>
        <v>0</v>
      </c>
      <c r="J22" s="24">
        <f>[1]目标拆解!I57</f>
        <v>450000</v>
      </c>
      <c r="K22" s="24">
        <f>[1]目标拆解!J57</f>
        <v>600000</v>
      </c>
      <c r="L22" s="24">
        <f>[1]目标拆解!K57</f>
        <v>750000</v>
      </c>
      <c r="M22" s="24">
        <f>[1]目标拆解!L57</f>
        <v>750000</v>
      </c>
      <c r="N22" s="24">
        <f>[1]目标拆解!M57</f>
        <v>450000</v>
      </c>
      <c r="O22" s="31">
        <f>SUM(C22:N22)</f>
        <v>3000000</v>
      </c>
    </row>
    <row r="23" ht="15.6" spans="1:15">
      <c r="A23" s="14"/>
      <c r="B23" s="12" t="s">
        <v>37</v>
      </c>
      <c r="C23" s="25">
        <f>'[1]月度数据汇总--女装'!C17</f>
        <v>0</v>
      </c>
      <c r="D23" s="25">
        <f>'[1]月度数据汇总--女装'!D17</f>
        <v>0</v>
      </c>
      <c r="E23" s="25">
        <f>'[1]月度数据汇总--女装'!E17</f>
        <v>0</v>
      </c>
      <c r="F23" s="25">
        <f>'[1]月度数据汇总--女装'!F17</f>
        <v>0</v>
      </c>
      <c r="G23" s="25">
        <f>'[1]月度数据汇总--女装'!G17</f>
        <v>0</v>
      </c>
      <c r="H23" s="25">
        <f>'[1]月度数据汇总--女装'!H17</f>
        <v>0</v>
      </c>
      <c r="I23" s="25">
        <f>'[1]月度数据汇总--女装'!I17</f>
        <v>0</v>
      </c>
      <c r="J23" s="25">
        <f>'[1]月度数据汇总--女装'!J17</f>
        <v>0</v>
      </c>
      <c r="K23" s="25">
        <f>'[1]月度数据汇总--女装'!K17</f>
        <v>0</v>
      </c>
      <c r="L23" s="25">
        <f>'[1]月度数据汇总--女装'!L17</f>
        <v>0</v>
      </c>
      <c r="M23" s="25">
        <f>'[1]月度数据汇总--女装'!M17</f>
        <v>0</v>
      </c>
      <c r="N23" s="25">
        <f>'[1]月度数据汇总--女装'!N17</f>
        <v>0</v>
      </c>
      <c r="O23" s="13">
        <f>SUM(C23:N23)</f>
        <v>0</v>
      </c>
    </row>
    <row r="24" ht="15.6" spans="1:15">
      <c r="A24" s="14"/>
      <c r="B24" s="1" t="s">
        <v>38</v>
      </c>
      <c r="C24" s="15" t="e">
        <f t="shared" ref="C24:O24" si="6">C23/C22</f>
        <v>#DIV/0!</v>
      </c>
      <c r="D24" s="15" t="e">
        <f t="shared" si="6"/>
        <v>#DIV/0!</v>
      </c>
      <c r="E24" s="15" t="e">
        <f t="shared" si="6"/>
        <v>#DIV/0!</v>
      </c>
      <c r="F24" s="15" t="e">
        <f t="shared" si="6"/>
        <v>#DIV/0!</v>
      </c>
      <c r="G24" s="15" t="e">
        <f t="shared" si="6"/>
        <v>#DIV/0!</v>
      </c>
      <c r="H24" s="15" t="e">
        <f t="shared" si="6"/>
        <v>#DIV/0!</v>
      </c>
      <c r="I24" s="15" t="e">
        <f t="shared" si="6"/>
        <v>#DIV/0!</v>
      </c>
      <c r="J24" s="15">
        <f t="shared" si="6"/>
        <v>0</v>
      </c>
      <c r="K24" s="15">
        <f t="shared" si="6"/>
        <v>0</v>
      </c>
      <c r="L24" s="15">
        <f t="shared" si="6"/>
        <v>0</v>
      </c>
      <c r="M24" s="15">
        <f t="shared" si="6"/>
        <v>0</v>
      </c>
      <c r="N24" s="15">
        <f t="shared" si="6"/>
        <v>0</v>
      </c>
      <c r="O24" s="15">
        <f t="shared" si="6"/>
        <v>0</v>
      </c>
    </row>
    <row r="25" ht="15.6" spans="1:15">
      <c r="A25" s="14"/>
      <c r="B25" s="17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32"/>
    </row>
    <row r="26" ht="15.6" spans="1:15">
      <c r="A26" s="14"/>
      <c r="B26" s="1" t="s">
        <v>39</v>
      </c>
      <c r="C26" s="15" t="e">
        <f t="shared" ref="C26:O26" si="7">1-C23*12.5/(C19)</f>
        <v>#DIV/0!</v>
      </c>
      <c r="D26" s="15" t="e">
        <f t="shared" si="7"/>
        <v>#DIV/0!</v>
      </c>
      <c r="E26" s="15" t="e">
        <f t="shared" si="7"/>
        <v>#DIV/0!</v>
      </c>
      <c r="F26" s="15" t="e">
        <f t="shared" si="7"/>
        <v>#DIV/0!</v>
      </c>
      <c r="G26" s="15" t="e">
        <f t="shared" si="7"/>
        <v>#DIV/0!</v>
      </c>
      <c r="H26" s="15" t="e">
        <f t="shared" si="7"/>
        <v>#DIV/0!</v>
      </c>
      <c r="I26" s="15" t="e">
        <f t="shared" si="7"/>
        <v>#DIV/0!</v>
      </c>
      <c r="J26" s="15" t="e">
        <f t="shared" si="7"/>
        <v>#DIV/0!</v>
      </c>
      <c r="K26" s="15" t="e">
        <f t="shared" si="7"/>
        <v>#DIV/0!</v>
      </c>
      <c r="L26" s="15" t="e">
        <f t="shared" si="7"/>
        <v>#DIV/0!</v>
      </c>
      <c r="M26" s="15" t="e">
        <f t="shared" si="7"/>
        <v>#DIV/0!</v>
      </c>
      <c r="N26" s="15" t="e">
        <f t="shared" si="7"/>
        <v>#DIV/0!</v>
      </c>
      <c r="O26" s="15" t="e">
        <f t="shared" si="7"/>
        <v>#DIV/0!</v>
      </c>
    </row>
    <row r="27" ht="15.6" spans="1:15">
      <c r="A27" s="14"/>
      <c r="B27" s="1" t="s">
        <v>40</v>
      </c>
      <c r="C27" s="15" t="e">
        <f t="shared" ref="C27:O27" si="8">1-C15/C11</f>
        <v>#DIV/0!</v>
      </c>
      <c r="D27" s="15" t="e">
        <f t="shared" si="8"/>
        <v>#DIV/0!</v>
      </c>
      <c r="E27" s="15" t="e">
        <f t="shared" si="8"/>
        <v>#DIV/0!</v>
      </c>
      <c r="F27" s="15" t="e">
        <f t="shared" si="8"/>
        <v>#DIV/0!</v>
      </c>
      <c r="G27" s="15" t="e">
        <f t="shared" si="8"/>
        <v>#DIV/0!</v>
      </c>
      <c r="H27" s="15" t="e">
        <f t="shared" si="8"/>
        <v>#DIV/0!</v>
      </c>
      <c r="I27" s="15" t="e">
        <f t="shared" si="8"/>
        <v>#DIV/0!</v>
      </c>
      <c r="J27" s="15" t="e">
        <f t="shared" si="8"/>
        <v>#DIV/0!</v>
      </c>
      <c r="K27" s="15" t="e">
        <f t="shared" si="8"/>
        <v>#DIV/0!</v>
      </c>
      <c r="L27" s="15" t="e">
        <f t="shared" si="8"/>
        <v>#DIV/0!</v>
      </c>
      <c r="M27" s="15" t="e">
        <f t="shared" si="8"/>
        <v>#DIV/0!</v>
      </c>
      <c r="N27" s="15" t="e">
        <f t="shared" si="8"/>
        <v>#DIV/0!</v>
      </c>
      <c r="O27" s="15" t="e">
        <f t="shared" si="8"/>
        <v>#DIV/0!</v>
      </c>
    </row>
    <row r="28" ht="15.6" spans="1:15">
      <c r="A28" s="14"/>
      <c r="B28" s="1" t="s">
        <v>41</v>
      </c>
      <c r="C28" s="15" t="e">
        <f t="shared" ref="C28:O28" si="9">C7/(C23)</f>
        <v>#DIV/0!</v>
      </c>
      <c r="D28" s="15" t="e">
        <f t="shared" si="9"/>
        <v>#DIV/0!</v>
      </c>
      <c r="E28" s="15" t="e">
        <f t="shared" si="9"/>
        <v>#DIV/0!</v>
      </c>
      <c r="F28" s="15" t="e">
        <f t="shared" si="9"/>
        <v>#DIV/0!</v>
      </c>
      <c r="G28" s="15" t="e">
        <f t="shared" si="9"/>
        <v>#DIV/0!</v>
      </c>
      <c r="H28" s="15" t="e">
        <f t="shared" si="9"/>
        <v>#DIV/0!</v>
      </c>
      <c r="I28" s="15" t="e">
        <f t="shared" si="9"/>
        <v>#DIV/0!</v>
      </c>
      <c r="J28" s="15" t="e">
        <f t="shared" si="9"/>
        <v>#DIV/0!</v>
      </c>
      <c r="K28" s="15" t="e">
        <f t="shared" si="9"/>
        <v>#DIV/0!</v>
      </c>
      <c r="L28" s="15" t="e">
        <f t="shared" si="9"/>
        <v>#DIV/0!</v>
      </c>
      <c r="M28" s="15" t="e">
        <f t="shared" si="9"/>
        <v>#DIV/0!</v>
      </c>
      <c r="N28" s="15" t="e">
        <f t="shared" si="9"/>
        <v>#DIV/0!</v>
      </c>
      <c r="O28" s="15" t="e">
        <f t="shared" si="9"/>
        <v>#DIV/0!</v>
      </c>
    </row>
    <row r="29" ht="15.6" spans="1:15">
      <c r="A29" s="26"/>
      <c r="B29" s="17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32"/>
    </row>
  </sheetData>
  <mergeCells count="16">
    <mergeCell ref="A1:O1"/>
    <mergeCell ref="C3:E3"/>
    <mergeCell ref="F3:H3"/>
    <mergeCell ref="I3:K3"/>
    <mergeCell ref="L3:N3"/>
    <mergeCell ref="C4:E4"/>
    <mergeCell ref="F4:H4"/>
    <mergeCell ref="I4:K4"/>
    <mergeCell ref="L4:N4"/>
    <mergeCell ref="C5:E5"/>
    <mergeCell ref="F5:H5"/>
    <mergeCell ref="I5:K5"/>
    <mergeCell ref="L5:N5"/>
    <mergeCell ref="A2:A5"/>
    <mergeCell ref="A6:A29"/>
    <mergeCell ref="O2:O5"/>
  </mergeCells>
  <conditionalFormatting sqref="B8:O8 B12:O12 B16:O16 B20:O20 B24:O24 B26:O2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{0f63a89d-f99c-4965-8e07-e7d5102966ba}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f63a89d-f99c-4965-8e07-e7d5102966b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B8:O8 B12:O12 B16:O16 B20:O20 B24:O24 B26:O28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"/>
  <sheetViews>
    <sheetView workbookViewId="0">
      <selection activeCell="P35" sqref="P35"/>
    </sheetView>
  </sheetViews>
  <sheetFormatPr defaultColWidth="15.5555555555556" defaultRowHeight="14.4"/>
  <cols>
    <col min="1" max="1" width="13.6666666666667" customWidth="1"/>
    <col min="2" max="2" width="21.6666666666667" customWidth="1"/>
    <col min="3" max="16384" width="15.5555555555556" customWidth="1"/>
  </cols>
  <sheetData>
    <row r="1" ht="15.6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5.6" spans="1:1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3" t="s">
        <v>7</v>
      </c>
      <c r="H2" s="3" t="s">
        <v>8</v>
      </c>
      <c r="I2" s="27" t="s">
        <v>9</v>
      </c>
      <c r="J2" s="27" t="s">
        <v>10</v>
      </c>
      <c r="K2" s="27" t="s">
        <v>11</v>
      </c>
      <c r="L2" s="28" t="s">
        <v>12</v>
      </c>
      <c r="M2" s="28" t="s">
        <v>13</v>
      </c>
      <c r="N2" s="28" t="s">
        <v>14</v>
      </c>
      <c r="O2" s="1" t="s">
        <v>15</v>
      </c>
    </row>
    <row r="3" ht="15.6" spans="1:15">
      <c r="A3" s="1"/>
      <c r="B3" s="1" t="s">
        <v>16</v>
      </c>
      <c r="C3" s="2" t="s">
        <v>17</v>
      </c>
      <c r="D3" s="2"/>
      <c r="E3" s="2"/>
      <c r="F3" s="3" t="s">
        <v>18</v>
      </c>
      <c r="G3" s="3"/>
      <c r="H3" s="3"/>
      <c r="I3" s="27" t="s">
        <v>19</v>
      </c>
      <c r="J3" s="27"/>
      <c r="K3" s="27"/>
      <c r="L3" s="28" t="s">
        <v>20</v>
      </c>
      <c r="M3" s="28"/>
      <c r="N3" s="28"/>
      <c r="O3" s="1"/>
    </row>
    <row r="4" ht="15.6" spans="1:15">
      <c r="A4" s="1"/>
      <c r="B4" s="1" t="s">
        <v>21</v>
      </c>
      <c r="C4" s="4">
        <f>(C7+D7+E7)</f>
        <v>0</v>
      </c>
      <c r="D4" s="4"/>
      <c r="E4" s="4"/>
      <c r="F4" s="3">
        <f>(F7+G7+H7)</f>
        <v>0</v>
      </c>
      <c r="G4" s="3"/>
      <c r="H4" s="3"/>
      <c r="I4" s="27">
        <f>(I7+J7+K7)</f>
        <v>0</v>
      </c>
      <c r="J4" s="27"/>
      <c r="K4" s="27"/>
      <c r="L4" s="28">
        <f>(L7+M7+N7)</f>
        <v>0</v>
      </c>
      <c r="M4" s="28"/>
      <c r="N4" s="28"/>
      <c r="O4" s="1"/>
    </row>
    <row r="5" ht="15.6" spans="1:15">
      <c r="A5" s="5"/>
      <c r="B5" s="5" t="s">
        <v>22</v>
      </c>
      <c r="C5" s="6" t="e">
        <f>(C7+D7+E7)/(C6+D6+E6)</f>
        <v>#DIV/0!</v>
      </c>
      <c r="D5" s="6"/>
      <c r="E5" s="6"/>
      <c r="F5" s="7" t="e">
        <f>(F7+G7+H7)/(F6+G6+H6)</f>
        <v>#DIV/0!</v>
      </c>
      <c r="G5" s="7"/>
      <c r="H5" s="7"/>
      <c r="I5" s="29">
        <f>(I7+J7+K7)/(I6+J6+K6)</f>
        <v>0</v>
      </c>
      <c r="J5" s="29"/>
      <c r="K5" s="29"/>
      <c r="L5" s="30">
        <f>(L7+M7+N7)/(L6+M6+N6)</f>
        <v>0</v>
      </c>
      <c r="M5" s="30"/>
      <c r="N5" s="30"/>
      <c r="O5" s="5"/>
    </row>
    <row r="6" ht="31.2" spans="1:15">
      <c r="A6" s="8" t="s">
        <v>23</v>
      </c>
      <c r="B6" s="9" t="s">
        <v>24</v>
      </c>
      <c r="C6" s="10">
        <f>[1]目标拆解!B76</f>
        <v>0</v>
      </c>
      <c r="D6" s="10">
        <f>[1]目标拆解!C76</f>
        <v>0</v>
      </c>
      <c r="E6" s="10">
        <f>[1]目标拆解!D76</f>
        <v>0</v>
      </c>
      <c r="F6" s="10">
        <f>[1]目标拆解!E76</f>
        <v>0</v>
      </c>
      <c r="G6" s="10">
        <f>[1]目标拆解!F76</f>
        <v>0</v>
      </c>
      <c r="H6" s="10">
        <f>[1]目标拆解!G76</f>
        <v>0</v>
      </c>
      <c r="I6" s="10">
        <f>[1]目标拆解!H76</f>
        <v>55080</v>
      </c>
      <c r="J6" s="10">
        <f>[1]目标拆解!I76</f>
        <v>165240</v>
      </c>
      <c r="K6" s="10">
        <f>[1]目标拆解!J76</f>
        <v>229500</v>
      </c>
      <c r="L6" s="10">
        <f>[1]目标拆解!K76</f>
        <v>229500</v>
      </c>
      <c r="M6" s="10">
        <f>[1]目标拆解!L76</f>
        <v>183600</v>
      </c>
      <c r="N6" s="10">
        <f>[1]目标拆解!M76</f>
        <v>55080</v>
      </c>
      <c r="O6" s="31">
        <f t="shared" ref="O6:O11" si="0">SUM(C6:N6)</f>
        <v>918000</v>
      </c>
    </row>
    <row r="7" ht="15.6" spans="1:15">
      <c r="A7" s="11"/>
      <c r="B7" s="12" t="s">
        <v>25</v>
      </c>
      <c r="C7" s="13">
        <f>'[1]月度数据汇总--女装'!C18</f>
        <v>0</v>
      </c>
      <c r="D7" s="13">
        <f>'[1]月度数据汇总--女装'!D18</f>
        <v>0</v>
      </c>
      <c r="E7" s="13">
        <f>'[1]月度数据汇总--女装'!E18</f>
        <v>0</v>
      </c>
      <c r="F7" s="13">
        <f>'[1]月度数据汇总--女装'!F18</f>
        <v>0</v>
      </c>
      <c r="G7" s="13">
        <f>'[1]月度数据汇总--女装'!G18</f>
        <v>0</v>
      </c>
      <c r="H7" s="13">
        <f>'[1]月度数据汇总--女装'!H18</f>
        <v>0</v>
      </c>
      <c r="I7" s="13">
        <f>'[1]月度数据汇总--女装'!I18</f>
        <v>0</v>
      </c>
      <c r="J7" s="13">
        <f>'[1]月度数据汇总--女装'!J18</f>
        <v>0</v>
      </c>
      <c r="K7" s="13">
        <f>'[1]月度数据汇总--女装'!K18</f>
        <v>0</v>
      </c>
      <c r="L7" s="13">
        <f>'[1]月度数据汇总--女装'!L18</f>
        <v>0</v>
      </c>
      <c r="M7" s="13">
        <f>'[1]月度数据汇总--女装'!M18</f>
        <v>0</v>
      </c>
      <c r="N7" s="13">
        <f>'[1]月度数据汇总--女装'!N18</f>
        <v>0</v>
      </c>
      <c r="O7" s="13">
        <f t="shared" si="0"/>
        <v>0</v>
      </c>
    </row>
    <row r="8" ht="15.6" spans="1:15">
      <c r="A8" s="14"/>
      <c r="B8" s="1" t="s">
        <v>26</v>
      </c>
      <c r="C8" s="15" t="e">
        <f t="shared" ref="C8:O8" si="1">C7/C6</f>
        <v>#DIV/0!</v>
      </c>
      <c r="D8" s="15" t="e">
        <f t="shared" si="1"/>
        <v>#DIV/0!</v>
      </c>
      <c r="E8" s="15" t="e">
        <f t="shared" si="1"/>
        <v>#DIV/0!</v>
      </c>
      <c r="F8" s="15" t="e">
        <f t="shared" si="1"/>
        <v>#DIV/0!</v>
      </c>
      <c r="G8" s="15" t="e">
        <f t="shared" si="1"/>
        <v>#DIV/0!</v>
      </c>
      <c r="H8" s="15" t="e">
        <f t="shared" si="1"/>
        <v>#DIV/0!</v>
      </c>
      <c r="I8" s="15">
        <f t="shared" si="1"/>
        <v>0</v>
      </c>
      <c r="J8" s="15">
        <f t="shared" si="1"/>
        <v>0</v>
      </c>
      <c r="K8" s="15">
        <f t="shared" si="1"/>
        <v>0</v>
      </c>
      <c r="L8" s="15">
        <f t="shared" si="1"/>
        <v>0</v>
      </c>
      <c r="M8" s="15">
        <f t="shared" si="1"/>
        <v>0</v>
      </c>
      <c r="N8" s="15">
        <f t="shared" si="1"/>
        <v>0</v>
      </c>
      <c r="O8" s="15">
        <f t="shared" si="1"/>
        <v>0</v>
      </c>
    </row>
    <row r="9" ht="15.6" spans="1:15">
      <c r="A9" s="16"/>
      <c r="B9" s="17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32"/>
    </row>
    <row r="10" ht="15.6" spans="1:15">
      <c r="A10" s="14"/>
      <c r="B10" s="1" t="s">
        <v>27</v>
      </c>
      <c r="C10" s="19">
        <f>[1]目标拆解!B80</f>
        <v>0</v>
      </c>
      <c r="D10" s="19">
        <f>[1]目标拆解!C80</f>
        <v>0</v>
      </c>
      <c r="E10" s="19">
        <f>[1]目标拆解!D80</f>
        <v>0</v>
      </c>
      <c r="F10" s="19">
        <f>[1]目标拆解!E80</f>
        <v>0</v>
      </c>
      <c r="G10" s="19">
        <f>[1]目标拆解!F80</f>
        <v>0</v>
      </c>
      <c r="H10" s="19">
        <f>[1]目标拆解!G80</f>
        <v>0</v>
      </c>
      <c r="I10" s="19">
        <f>[1]目标拆解!H80</f>
        <v>4559.27051671733</v>
      </c>
      <c r="J10" s="19">
        <f>[1]目标拆解!I80</f>
        <v>13677.811550152</v>
      </c>
      <c r="K10" s="19">
        <f>[1]目标拆解!J80</f>
        <v>18996.9604863222</v>
      </c>
      <c r="L10" s="19">
        <f>[1]目标拆解!K80</f>
        <v>18996.9604863222</v>
      </c>
      <c r="M10" s="19">
        <f>[1]目标拆解!L80</f>
        <v>15197.5683890578</v>
      </c>
      <c r="N10" s="19">
        <f>[1]目标拆解!M80</f>
        <v>4559.27051671733</v>
      </c>
      <c r="O10" s="33">
        <f t="shared" si="0"/>
        <v>75987.8419452889</v>
      </c>
    </row>
    <row r="11" ht="15.6" spans="1:15">
      <c r="A11" s="14"/>
      <c r="B11" s="12" t="s">
        <v>28</v>
      </c>
      <c r="C11" s="12">
        <f>'[1]月度数据汇总--女装'!C19</f>
        <v>0</v>
      </c>
      <c r="D11" s="12">
        <f>'[1]月度数据汇总--女装'!D19</f>
        <v>0</v>
      </c>
      <c r="E11" s="12">
        <f>'[1]月度数据汇总--女装'!E19</f>
        <v>0</v>
      </c>
      <c r="F11" s="12">
        <f>'[1]月度数据汇总--女装'!F19</f>
        <v>0</v>
      </c>
      <c r="G11" s="12">
        <f>'[1]月度数据汇总--女装'!G19</f>
        <v>0</v>
      </c>
      <c r="H11" s="12">
        <f>'[1]月度数据汇总--女装'!H19</f>
        <v>0</v>
      </c>
      <c r="I11" s="12">
        <f>'[1]月度数据汇总--女装'!I19</f>
        <v>0</v>
      </c>
      <c r="J11" s="12">
        <f>'[1]月度数据汇总--女装'!J19</f>
        <v>0</v>
      </c>
      <c r="K11" s="12">
        <f>'[1]月度数据汇总--女装'!K19</f>
        <v>0</v>
      </c>
      <c r="L11" s="12">
        <f>'[1]月度数据汇总--女装'!L19</f>
        <v>0</v>
      </c>
      <c r="M11" s="12">
        <f>'[1]月度数据汇总--女装'!M19</f>
        <v>0</v>
      </c>
      <c r="N11" s="12">
        <f>'[1]月度数据汇总--女装'!N19</f>
        <v>0</v>
      </c>
      <c r="O11" s="12">
        <f t="shared" si="0"/>
        <v>0</v>
      </c>
    </row>
    <row r="12" ht="15.6" spans="1:15">
      <c r="A12" s="14"/>
      <c r="B12" s="1" t="s">
        <v>29</v>
      </c>
      <c r="C12" s="15" t="e">
        <f t="shared" ref="C12:O12" si="2">C11/C10</f>
        <v>#DIV/0!</v>
      </c>
      <c r="D12" s="15" t="e">
        <f t="shared" si="2"/>
        <v>#DIV/0!</v>
      </c>
      <c r="E12" s="15" t="e">
        <f t="shared" si="2"/>
        <v>#DIV/0!</v>
      </c>
      <c r="F12" s="15" t="e">
        <f t="shared" si="2"/>
        <v>#DIV/0!</v>
      </c>
      <c r="G12" s="15" t="e">
        <f t="shared" si="2"/>
        <v>#DIV/0!</v>
      </c>
      <c r="H12" s="15" t="e">
        <f t="shared" si="2"/>
        <v>#DIV/0!</v>
      </c>
      <c r="I12" s="15">
        <f t="shared" si="2"/>
        <v>0</v>
      </c>
      <c r="J12" s="15">
        <f t="shared" si="2"/>
        <v>0</v>
      </c>
      <c r="K12" s="15">
        <f t="shared" si="2"/>
        <v>0</v>
      </c>
      <c r="L12" s="15">
        <f t="shared" si="2"/>
        <v>0</v>
      </c>
      <c r="M12" s="15">
        <f t="shared" si="2"/>
        <v>0</v>
      </c>
      <c r="N12" s="15">
        <f t="shared" si="2"/>
        <v>0</v>
      </c>
      <c r="O12" s="15">
        <f t="shared" si="2"/>
        <v>0</v>
      </c>
    </row>
    <row r="13" ht="15.6" spans="1:15">
      <c r="A13" s="14"/>
      <c r="B13" s="17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32"/>
    </row>
    <row r="14" ht="15.6" spans="1:15">
      <c r="A14" s="14"/>
      <c r="B14" s="1" t="s">
        <v>30</v>
      </c>
      <c r="C14" s="20">
        <f>[1]目标拆解!B82</f>
        <v>0</v>
      </c>
      <c r="D14" s="20">
        <f>[1]目标拆解!C82</f>
        <v>0</v>
      </c>
      <c r="E14" s="20">
        <f>[1]目标拆解!D82</f>
        <v>0</v>
      </c>
      <c r="F14" s="20">
        <f>[1]目标拆解!E82</f>
        <v>0</v>
      </c>
      <c r="G14" s="20">
        <f>[1]目标拆解!F82</f>
        <v>0</v>
      </c>
      <c r="H14" s="20">
        <f>[1]目标拆解!G82</f>
        <v>0</v>
      </c>
      <c r="I14" s="20">
        <f>[1]目标拆解!H82</f>
        <v>957.446808510638</v>
      </c>
      <c r="J14" s="20">
        <f>[1]目标拆解!I82</f>
        <v>2872.34042553191</v>
      </c>
      <c r="K14" s="20">
        <f>[1]目标拆解!J82</f>
        <v>3989.36170212766</v>
      </c>
      <c r="L14" s="20">
        <f>[1]目标拆解!K82</f>
        <v>3989.36170212766</v>
      </c>
      <c r="M14" s="20">
        <f>[1]目标拆解!L82</f>
        <v>3191.48936170213</v>
      </c>
      <c r="N14" s="20">
        <f>[1]目标拆解!M82</f>
        <v>957.446808510638</v>
      </c>
      <c r="O14" s="33">
        <f t="shared" ref="O14:O19" si="3">SUM(C14:N14)</f>
        <v>15957.4468085106</v>
      </c>
    </row>
    <row r="15" ht="15.6" spans="1:15">
      <c r="A15" s="14"/>
      <c r="B15" s="12" t="s">
        <v>31</v>
      </c>
      <c r="C15" s="12">
        <f>'[1]月度数据汇总--女装'!C20</f>
        <v>0</v>
      </c>
      <c r="D15" s="12">
        <f>'[1]月度数据汇总--女装'!D20</f>
        <v>0</v>
      </c>
      <c r="E15" s="12">
        <f>'[1]月度数据汇总--女装'!E20</f>
        <v>0</v>
      </c>
      <c r="F15" s="12">
        <f>'[1]月度数据汇总--女装'!F20</f>
        <v>0</v>
      </c>
      <c r="G15" s="12">
        <f>'[1]月度数据汇总--女装'!G20</f>
        <v>0</v>
      </c>
      <c r="H15" s="12">
        <f>'[1]月度数据汇总--女装'!H20</f>
        <v>0</v>
      </c>
      <c r="I15" s="12">
        <f>'[1]月度数据汇总--女装'!I20</f>
        <v>0</v>
      </c>
      <c r="J15" s="12">
        <f>'[1]月度数据汇总--女装'!J20</f>
        <v>0</v>
      </c>
      <c r="K15" s="12">
        <f>'[1]月度数据汇总--女装'!K20</f>
        <v>0</v>
      </c>
      <c r="L15" s="12">
        <f>'[1]月度数据汇总--女装'!L20</f>
        <v>0</v>
      </c>
      <c r="M15" s="12">
        <f>'[1]月度数据汇总--女装'!M20</f>
        <v>0</v>
      </c>
      <c r="N15" s="12">
        <f>'[1]月度数据汇总--女装'!N20</f>
        <v>0</v>
      </c>
      <c r="O15" s="12">
        <f t="shared" si="3"/>
        <v>0</v>
      </c>
    </row>
    <row r="16" ht="15.6" spans="1:15">
      <c r="A16" s="14"/>
      <c r="B16" s="1" t="s">
        <v>32</v>
      </c>
      <c r="C16" s="15" t="e">
        <f t="shared" ref="C16:O16" si="4">C15/C14</f>
        <v>#DIV/0!</v>
      </c>
      <c r="D16" s="15" t="e">
        <f t="shared" si="4"/>
        <v>#DIV/0!</v>
      </c>
      <c r="E16" s="15" t="e">
        <f t="shared" si="4"/>
        <v>#DIV/0!</v>
      </c>
      <c r="F16" s="15" t="e">
        <f t="shared" si="4"/>
        <v>#DIV/0!</v>
      </c>
      <c r="G16" s="15" t="e">
        <f t="shared" si="4"/>
        <v>#DIV/0!</v>
      </c>
      <c r="H16" s="15" t="e">
        <f t="shared" si="4"/>
        <v>#DIV/0!</v>
      </c>
      <c r="I16" s="15">
        <f t="shared" si="4"/>
        <v>0</v>
      </c>
      <c r="J16" s="15">
        <f t="shared" si="4"/>
        <v>0</v>
      </c>
      <c r="K16" s="15">
        <f t="shared" si="4"/>
        <v>0</v>
      </c>
      <c r="L16" s="15">
        <f t="shared" si="4"/>
        <v>0</v>
      </c>
      <c r="M16" s="15">
        <f t="shared" si="4"/>
        <v>0</v>
      </c>
      <c r="N16" s="15">
        <f t="shared" si="4"/>
        <v>0</v>
      </c>
      <c r="O16" s="15">
        <f t="shared" si="4"/>
        <v>0</v>
      </c>
    </row>
    <row r="17" ht="15.6" spans="1:15">
      <c r="A17" s="14"/>
      <c r="B17" s="17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32"/>
    </row>
    <row r="18" ht="15.6" spans="1:15">
      <c r="A18" s="21"/>
      <c r="B18" s="22" t="s">
        <v>33</v>
      </c>
      <c r="C18" s="22">
        <f>[1]目标拆解!B72</f>
        <v>0</v>
      </c>
      <c r="D18" s="22">
        <f>[1]目标拆解!C72</f>
        <v>0</v>
      </c>
      <c r="E18" s="22">
        <f>[1]目标拆解!D72</f>
        <v>0</v>
      </c>
      <c r="F18" s="22">
        <f>[1]目标拆解!E72</f>
        <v>0</v>
      </c>
      <c r="G18" s="22">
        <f>[1]目标拆解!F72</f>
        <v>0</v>
      </c>
      <c r="H18" s="22">
        <f>[1]目标拆解!G72</f>
        <v>0</v>
      </c>
      <c r="I18" s="22">
        <f>[1]目标拆解!H72</f>
        <v>21428571.4285714</v>
      </c>
      <c r="J18" s="22">
        <f>[1]目标拆解!I72</f>
        <v>64285714.2857143</v>
      </c>
      <c r="K18" s="22">
        <f>[1]目标拆解!J72</f>
        <v>89285714.2857143</v>
      </c>
      <c r="L18" s="22">
        <f>[1]目标拆解!K72</f>
        <v>89285714.2857143</v>
      </c>
      <c r="M18" s="22">
        <f>[1]目标拆解!L72</f>
        <v>71428571.4285714</v>
      </c>
      <c r="N18" s="22">
        <f>[1]目标拆解!M72</f>
        <v>21428571.4285714</v>
      </c>
      <c r="O18" s="34">
        <f t="shared" si="3"/>
        <v>357142857.142857</v>
      </c>
    </row>
    <row r="19" ht="15.6" spans="1:15">
      <c r="A19" s="21"/>
      <c r="B19" s="23" t="s">
        <v>34</v>
      </c>
      <c r="C19" s="23">
        <f>'[1]月度数据汇总--女装'!C21</f>
        <v>0</v>
      </c>
      <c r="D19" s="23">
        <f>'[1]月度数据汇总--女装'!D21</f>
        <v>0</v>
      </c>
      <c r="E19" s="23">
        <f>'[1]月度数据汇总--女装'!E21</f>
        <v>0</v>
      </c>
      <c r="F19" s="23">
        <f>'[1]月度数据汇总--女装'!F21</f>
        <v>0</v>
      </c>
      <c r="G19" s="23">
        <f>'[1]月度数据汇总--女装'!G21</f>
        <v>0</v>
      </c>
      <c r="H19" s="23">
        <f>'[1]月度数据汇总--女装'!H21</f>
        <v>0</v>
      </c>
      <c r="I19" s="23">
        <f>'[1]月度数据汇总--女装'!I21</f>
        <v>0</v>
      </c>
      <c r="J19" s="23">
        <f>'[1]月度数据汇总--女装'!J21</f>
        <v>0</v>
      </c>
      <c r="K19" s="23">
        <f>'[1]月度数据汇总--女装'!K21</f>
        <v>0</v>
      </c>
      <c r="L19" s="23">
        <f>'[1]月度数据汇总--女装'!L21</f>
        <v>0</v>
      </c>
      <c r="M19" s="23">
        <f>'[1]月度数据汇总--女装'!M21</f>
        <v>0</v>
      </c>
      <c r="N19" s="23">
        <f>'[1]月度数据汇总--女装'!N21</f>
        <v>0</v>
      </c>
      <c r="O19" s="23">
        <f t="shared" si="3"/>
        <v>0</v>
      </c>
    </row>
    <row r="20" ht="15.6" spans="1:15">
      <c r="A20" s="14"/>
      <c r="B20" s="1" t="s">
        <v>35</v>
      </c>
      <c r="C20" s="15" t="e">
        <f t="shared" ref="C20:O20" si="5">C19/C18</f>
        <v>#DIV/0!</v>
      </c>
      <c r="D20" s="15" t="e">
        <f t="shared" si="5"/>
        <v>#DIV/0!</v>
      </c>
      <c r="E20" s="15" t="e">
        <f t="shared" si="5"/>
        <v>#DIV/0!</v>
      </c>
      <c r="F20" s="15" t="e">
        <f t="shared" si="5"/>
        <v>#DIV/0!</v>
      </c>
      <c r="G20" s="15" t="e">
        <f t="shared" si="5"/>
        <v>#DIV/0!</v>
      </c>
      <c r="H20" s="15" t="e">
        <f t="shared" si="5"/>
        <v>#DIV/0!</v>
      </c>
      <c r="I20" s="15">
        <f t="shared" si="5"/>
        <v>0</v>
      </c>
      <c r="J20" s="15">
        <f t="shared" si="5"/>
        <v>0</v>
      </c>
      <c r="K20" s="15">
        <f t="shared" si="5"/>
        <v>0</v>
      </c>
      <c r="L20" s="15">
        <f t="shared" si="5"/>
        <v>0</v>
      </c>
      <c r="M20" s="15">
        <f t="shared" si="5"/>
        <v>0</v>
      </c>
      <c r="N20" s="15">
        <f t="shared" si="5"/>
        <v>0</v>
      </c>
      <c r="O20" s="15">
        <f t="shared" si="5"/>
        <v>0</v>
      </c>
    </row>
    <row r="21" ht="15.6" spans="1:15">
      <c r="A21" s="14"/>
      <c r="B21" s="17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32"/>
    </row>
    <row r="22" ht="15.6" spans="1:15">
      <c r="A22" s="14"/>
      <c r="B22" s="1" t="s">
        <v>36</v>
      </c>
      <c r="C22" s="24">
        <f>[1]目标拆解!B74</f>
        <v>0</v>
      </c>
      <c r="D22" s="24">
        <f>[1]目标拆解!C74</f>
        <v>0</v>
      </c>
      <c r="E22" s="24">
        <f>[1]目标拆解!D74</f>
        <v>0</v>
      </c>
      <c r="F22" s="24">
        <f>[1]目标拆解!E74</f>
        <v>0</v>
      </c>
      <c r="G22" s="24">
        <f>[1]目标拆解!F74</f>
        <v>0</v>
      </c>
      <c r="H22" s="24">
        <f>[1]目标拆解!G74</f>
        <v>0</v>
      </c>
      <c r="I22" s="24">
        <f>[1]目标拆解!H74</f>
        <v>360000</v>
      </c>
      <c r="J22" s="24">
        <f>[1]目标拆解!I74</f>
        <v>1080000</v>
      </c>
      <c r="K22" s="24">
        <f>[1]目标拆解!J74</f>
        <v>1500000</v>
      </c>
      <c r="L22" s="24">
        <f>[1]目标拆解!K74</f>
        <v>1500000</v>
      </c>
      <c r="M22" s="24">
        <f>[1]目标拆解!L74</f>
        <v>1200000</v>
      </c>
      <c r="N22" s="24">
        <f>[1]目标拆解!M74</f>
        <v>360000</v>
      </c>
      <c r="O22" s="31">
        <f>SUM(C22:N22)</f>
        <v>6000000</v>
      </c>
    </row>
    <row r="23" ht="15.6" spans="1:15">
      <c r="A23" s="14"/>
      <c r="B23" s="12" t="s">
        <v>37</v>
      </c>
      <c r="C23" s="25">
        <f>'[1]月度数据汇总--女装'!C22</f>
        <v>0</v>
      </c>
      <c r="D23" s="25">
        <f>'[1]月度数据汇总--女装'!D22</f>
        <v>0</v>
      </c>
      <c r="E23" s="25">
        <f>'[1]月度数据汇总--女装'!E22</f>
        <v>0</v>
      </c>
      <c r="F23" s="25">
        <f>'[1]月度数据汇总--女装'!F22</f>
        <v>0</v>
      </c>
      <c r="G23" s="25">
        <f>'[1]月度数据汇总--女装'!G22</f>
        <v>0</v>
      </c>
      <c r="H23" s="25">
        <f>'[1]月度数据汇总--女装'!H22</f>
        <v>0</v>
      </c>
      <c r="I23" s="25">
        <f>'[1]月度数据汇总--女装'!I22</f>
        <v>0</v>
      </c>
      <c r="J23" s="25">
        <f>'[1]月度数据汇总--女装'!J22</f>
        <v>0</v>
      </c>
      <c r="K23" s="25">
        <f>'[1]月度数据汇总--女装'!K22</f>
        <v>0</v>
      </c>
      <c r="L23" s="25">
        <f>'[1]月度数据汇总--女装'!L22</f>
        <v>0</v>
      </c>
      <c r="M23" s="25">
        <f>'[1]月度数据汇总--女装'!M22</f>
        <v>0</v>
      </c>
      <c r="N23" s="25">
        <f>'[1]月度数据汇总--女装'!N22</f>
        <v>0</v>
      </c>
      <c r="O23" s="13">
        <f>SUM(C23:N23)</f>
        <v>0</v>
      </c>
    </row>
    <row r="24" ht="15.6" spans="1:15">
      <c r="A24" s="14"/>
      <c r="B24" s="1" t="s">
        <v>38</v>
      </c>
      <c r="C24" s="15" t="e">
        <f t="shared" ref="C24:O24" si="6">C23/C22</f>
        <v>#DIV/0!</v>
      </c>
      <c r="D24" s="15" t="e">
        <f t="shared" si="6"/>
        <v>#DIV/0!</v>
      </c>
      <c r="E24" s="15" t="e">
        <f t="shared" si="6"/>
        <v>#DIV/0!</v>
      </c>
      <c r="F24" s="15" t="e">
        <f t="shared" si="6"/>
        <v>#DIV/0!</v>
      </c>
      <c r="G24" s="15" t="e">
        <f t="shared" si="6"/>
        <v>#DIV/0!</v>
      </c>
      <c r="H24" s="15" t="e">
        <f t="shared" si="6"/>
        <v>#DIV/0!</v>
      </c>
      <c r="I24" s="15">
        <f t="shared" si="6"/>
        <v>0</v>
      </c>
      <c r="J24" s="15">
        <f t="shared" si="6"/>
        <v>0</v>
      </c>
      <c r="K24" s="15">
        <f t="shared" si="6"/>
        <v>0</v>
      </c>
      <c r="L24" s="15">
        <f t="shared" si="6"/>
        <v>0</v>
      </c>
      <c r="M24" s="15">
        <f t="shared" si="6"/>
        <v>0</v>
      </c>
      <c r="N24" s="15">
        <f t="shared" si="6"/>
        <v>0</v>
      </c>
      <c r="O24" s="15">
        <f t="shared" si="6"/>
        <v>0</v>
      </c>
    </row>
    <row r="25" ht="15.6" spans="1:15">
      <c r="A25" s="14"/>
      <c r="B25" s="17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32"/>
    </row>
    <row r="26" ht="15.6" spans="1:15">
      <c r="A26" s="14"/>
      <c r="B26" s="1" t="s">
        <v>39</v>
      </c>
      <c r="C26" s="15" t="e">
        <f t="shared" ref="C26:O26" si="7">1-C23*12.5/(C19)</f>
        <v>#DIV/0!</v>
      </c>
      <c r="D26" s="15" t="e">
        <f t="shared" si="7"/>
        <v>#DIV/0!</v>
      </c>
      <c r="E26" s="15" t="e">
        <f t="shared" si="7"/>
        <v>#DIV/0!</v>
      </c>
      <c r="F26" s="15" t="e">
        <f t="shared" si="7"/>
        <v>#DIV/0!</v>
      </c>
      <c r="G26" s="15" t="e">
        <f t="shared" si="7"/>
        <v>#DIV/0!</v>
      </c>
      <c r="H26" s="15" t="e">
        <f t="shared" si="7"/>
        <v>#DIV/0!</v>
      </c>
      <c r="I26" s="15" t="e">
        <f t="shared" si="7"/>
        <v>#DIV/0!</v>
      </c>
      <c r="J26" s="15" t="e">
        <f t="shared" si="7"/>
        <v>#DIV/0!</v>
      </c>
      <c r="K26" s="15" t="e">
        <f t="shared" si="7"/>
        <v>#DIV/0!</v>
      </c>
      <c r="L26" s="15" t="e">
        <f t="shared" si="7"/>
        <v>#DIV/0!</v>
      </c>
      <c r="M26" s="15" t="e">
        <f t="shared" si="7"/>
        <v>#DIV/0!</v>
      </c>
      <c r="N26" s="15" t="e">
        <f t="shared" si="7"/>
        <v>#DIV/0!</v>
      </c>
      <c r="O26" s="15" t="e">
        <f t="shared" si="7"/>
        <v>#DIV/0!</v>
      </c>
    </row>
    <row r="27" ht="15.6" spans="1:15">
      <c r="A27" s="14"/>
      <c r="B27" s="1" t="s">
        <v>40</v>
      </c>
      <c r="C27" s="15" t="e">
        <f t="shared" ref="C27:O27" si="8">1-C15/C11</f>
        <v>#DIV/0!</v>
      </c>
      <c r="D27" s="15" t="e">
        <f t="shared" si="8"/>
        <v>#DIV/0!</v>
      </c>
      <c r="E27" s="15" t="e">
        <f t="shared" si="8"/>
        <v>#DIV/0!</v>
      </c>
      <c r="F27" s="15" t="e">
        <f t="shared" si="8"/>
        <v>#DIV/0!</v>
      </c>
      <c r="G27" s="15" t="e">
        <f t="shared" si="8"/>
        <v>#DIV/0!</v>
      </c>
      <c r="H27" s="15" t="e">
        <f t="shared" si="8"/>
        <v>#DIV/0!</v>
      </c>
      <c r="I27" s="15" t="e">
        <f t="shared" si="8"/>
        <v>#DIV/0!</v>
      </c>
      <c r="J27" s="15" t="e">
        <f t="shared" si="8"/>
        <v>#DIV/0!</v>
      </c>
      <c r="K27" s="15" t="e">
        <f t="shared" si="8"/>
        <v>#DIV/0!</v>
      </c>
      <c r="L27" s="15" t="e">
        <f t="shared" si="8"/>
        <v>#DIV/0!</v>
      </c>
      <c r="M27" s="15" t="e">
        <f t="shared" si="8"/>
        <v>#DIV/0!</v>
      </c>
      <c r="N27" s="15" t="e">
        <f t="shared" si="8"/>
        <v>#DIV/0!</v>
      </c>
      <c r="O27" s="15" t="e">
        <f t="shared" si="8"/>
        <v>#DIV/0!</v>
      </c>
    </row>
    <row r="28" ht="15.6" spans="1:15">
      <c r="A28" s="14"/>
      <c r="B28" s="1" t="s">
        <v>41</v>
      </c>
      <c r="C28" s="15" t="e">
        <f t="shared" ref="C28:O28" si="9">C7/(C23)</f>
        <v>#DIV/0!</v>
      </c>
      <c r="D28" s="15" t="e">
        <f t="shared" si="9"/>
        <v>#DIV/0!</v>
      </c>
      <c r="E28" s="15" t="e">
        <f t="shared" si="9"/>
        <v>#DIV/0!</v>
      </c>
      <c r="F28" s="15" t="e">
        <f t="shared" si="9"/>
        <v>#DIV/0!</v>
      </c>
      <c r="G28" s="15" t="e">
        <f t="shared" si="9"/>
        <v>#DIV/0!</v>
      </c>
      <c r="H28" s="15" t="e">
        <f t="shared" si="9"/>
        <v>#DIV/0!</v>
      </c>
      <c r="I28" s="15" t="e">
        <f t="shared" si="9"/>
        <v>#DIV/0!</v>
      </c>
      <c r="J28" s="15" t="e">
        <f t="shared" si="9"/>
        <v>#DIV/0!</v>
      </c>
      <c r="K28" s="15" t="e">
        <f t="shared" si="9"/>
        <v>#DIV/0!</v>
      </c>
      <c r="L28" s="15" t="e">
        <f t="shared" si="9"/>
        <v>#DIV/0!</v>
      </c>
      <c r="M28" s="15" t="e">
        <f t="shared" si="9"/>
        <v>#DIV/0!</v>
      </c>
      <c r="N28" s="15" t="e">
        <f t="shared" si="9"/>
        <v>#DIV/0!</v>
      </c>
      <c r="O28" s="15" t="e">
        <f t="shared" si="9"/>
        <v>#DIV/0!</v>
      </c>
    </row>
    <row r="29" ht="15.6" spans="1:15">
      <c r="A29" s="26"/>
      <c r="B29" s="17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32"/>
    </row>
  </sheetData>
  <mergeCells count="16">
    <mergeCell ref="A1:O1"/>
    <mergeCell ref="C3:E3"/>
    <mergeCell ref="F3:H3"/>
    <mergeCell ref="I3:K3"/>
    <mergeCell ref="L3:N3"/>
    <mergeCell ref="C4:E4"/>
    <mergeCell ref="F4:H4"/>
    <mergeCell ref="I4:K4"/>
    <mergeCell ref="L4:N4"/>
    <mergeCell ref="C5:E5"/>
    <mergeCell ref="F5:H5"/>
    <mergeCell ref="I5:K5"/>
    <mergeCell ref="L5:N5"/>
    <mergeCell ref="A2:A5"/>
    <mergeCell ref="A6:A29"/>
    <mergeCell ref="O2:O5"/>
  </mergeCells>
  <conditionalFormatting sqref="B8:O8 B12:O12 B16:O16 B20:O20 B24:O24 B26:O2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{0904f572-004a-4a4d-bd74-55e55912aad2}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04f572-004a-4a4d-bd74-55e55912aad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B8:O8 B12:O12 B16:O16 B20:O20 B24:O24 B26:O28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"/>
  <sheetViews>
    <sheetView workbookViewId="0">
      <selection activeCell="M36" sqref="M36"/>
    </sheetView>
  </sheetViews>
  <sheetFormatPr defaultColWidth="16.6666666666667" defaultRowHeight="14.4"/>
  <cols>
    <col min="1" max="1" width="16.6666666666667" customWidth="1"/>
    <col min="2" max="2" width="20.1111111111111" customWidth="1"/>
    <col min="3" max="16384" width="16.6666666666667" customWidth="1"/>
  </cols>
  <sheetData>
    <row r="1" ht="15.6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5.6" spans="1:1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3" t="s">
        <v>7</v>
      </c>
      <c r="H2" s="3" t="s">
        <v>8</v>
      </c>
      <c r="I2" s="27" t="s">
        <v>9</v>
      </c>
      <c r="J2" s="27" t="s">
        <v>10</v>
      </c>
      <c r="K2" s="27" t="s">
        <v>11</v>
      </c>
      <c r="L2" s="28" t="s">
        <v>12</v>
      </c>
      <c r="M2" s="28" t="s">
        <v>13</v>
      </c>
      <c r="N2" s="28" t="s">
        <v>14</v>
      </c>
      <c r="O2" s="1" t="s">
        <v>15</v>
      </c>
    </row>
    <row r="3" ht="15.6" spans="1:15">
      <c r="A3" s="1"/>
      <c r="B3" s="1" t="s">
        <v>16</v>
      </c>
      <c r="C3" s="2" t="s">
        <v>17</v>
      </c>
      <c r="D3" s="2"/>
      <c r="E3" s="2"/>
      <c r="F3" s="3" t="s">
        <v>18</v>
      </c>
      <c r="G3" s="3"/>
      <c r="H3" s="3"/>
      <c r="I3" s="27" t="s">
        <v>19</v>
      </c>
      <c r="J3" s="27"/>
      <c r="K3" s="27"/>
      <c r="L3" s="28" t="s">
        <v>20</v>
      </c>
      <c r="M3" s="28"/>
      <c r="N3" s="28"/>
      <c r="O3" s="1"/>
    </row>
    <row r="4" ht="15.6" spans="1:15">
      <c r="A4" s="1"/>
      <c r="B4" s="1" t="s">
        <v>21</v>
      </c>
      <c r="C4" s="4">
        <f>(C7+D7+E7)</f>
        <v>0</v>
      </c>
      <c r="D4" s="4"/>
      <c r="E4" s="4"/>
      <c r="F4" s="3">
        <f>(F7+G7+H7)</f>
        <v>0</v>
      </c>
      <c r="G4" s="3"/>
      <c r="H4" s="3"/>
      <c r="I4" s="27">
        <f>(I7+J7+K7)</f>
        <v>0</v>
      </c>
      <c r="J4" s="27"/>
      <c r="K4" s="27"/>
      <c r="L4" s="28">
        <f>(L7+M7+N7)</f>
        <v>0</v>
      </c>
      <c r="M4" s="28"/>
      <c r="N4" s="28"/>
      <c r="O4" s="1"/>
    </row>
    <row r="5" ht="15.6" spans="1:15">
      <c r="A5" s="5"/>
      <c r="B5" s="5" t="s">
        <v>22</v>
      </c>
      <c r="C5" s="6" t="e">
        <f>(C7+D7+E7)/(C6+D6+E6)</f>
        <v>#DIV/0!</v>
      </c>
      <c r="D5" s="6"/>
      <c r="E5" s="6"/>
      <c r="F5" s="7" t="e">
        <f>(F7+G7+H7)/(F6+G6+H6)</f>
        <v>#DIV/0!</v>
      </c>
      <c r="G5" s="7"/>
      <c r="H5" s="7"/>
      <c r="I5" s="29">
        <f>(I7+J7+K7)/(I6+J6+K6)</f>
        <v>0</v>
      </c>
      <c r="J5" s="29"/>
      <c r="K5" s="29"/>
      <c r="L5" s="30">
        <f>(L7+M7+N7)/(L6+M6+N6)</f>
        <v>0</v>
      </c>
      <c r="M5" s="30"/>
      <c r="N5" s="30"/>
      <c r="O5" s="5"/>
    </row>
    <row r="6" ht="31.2" spans="1:15">
      <c r="A6" s="8" t="s">
        <v>23</v>
      </c>
      <c r="B6" s="9" t="s">
        <v>24</v>
      </c>
      <c r="C6" s="10">
        <f>[1]目标拆解!B93</f>
        <v>0</v>
      </c>
      <c r="D6" s="10">
        <f>[1]目标拆解!C93</f>
        <v>0</v>
      </c>
      <c r="E6" s="10">
        <f>[1]目标拆解!D93</f>
        <v>0</v>
      </c>
      <c r="F6" s="10">
        <f>[1]目标拆解!E93</f>
        <v>0</v>
      </c>
      <c r="G6" s="10">
        <f>[1]目标拆解!F93</f>
        <v>0</v>
      </c>
      <c r="H6" s="10">
        <f>[1]目标拆解!G93</f>
        <v>0</v>
      </c>
      <c r="I6" s="10">
        <f>[1]目标拆解!H93</f>
        <v>36000</v>
      </c>
      <c r="J6" s="10">
        <f>[1]目标拆解!I93</f>
        <v>60000</v>
      </c>
      <c r="K6" s="10">
        <f>[1]目标拆解!J93</f>
        <v>54000</v>
      </c>
      <c r="L6" s="10">
        <f>[1]目标拆解!K93</f>
        <v>54000</v>
      </c>
      <c r="M6" s="10">
        <f>[1]目标拆解!L93</f>
        <v>54000</v>
      </c>
      <c r="N6" s="10">
        <f>[1]目标拆解!M93</f>
        <v>42000</v>
      </c>
      <c r="O6" s="31">
        <f t="shared" ref="O6:O11" si="0">SUM(C6:N6)</f>
        <v>300000</v>
      </c>
    </row>
    <row r="7" ht="15.6" spans="1:15">
      <c r="A7" s="11"/>
      <c r="B7" s="12" t="s">
        <v>25</v>
      </c>
      <c r="C7" s="13">
        <f>'[1]月度数据汇总--女装'!C23</f>
        <v>0</v>
      </c>
      <c r="D7" s="13">
        <f>'[1]月度数据汇总--女装'!D23</f>
        <v>0</v>
      </c>
      <c r="E7" s="13">
        <f>'[1]月度数据汇总--女装'!E23</f>
        <v>0</v>
      </c>
      <c r="F7" s="13">
        <f>'[1]月度数据汇总--女装'!F23</f>
        <v>0</v>
      </c>
      <c r="G7" s="13">
        <f>'[1]月度数据汇总--女装'!G23</f>
        <v>0</v>
      </c>
      <c r="H7" s="13">
        <f>'[1]月度数据汇总--女装'!H23</f>
        <v>0</v>
      </c>
      <c r="I7" s="13">
        <f>'[1]月度数据汇总--女装'!I23</f>
        <v>0</v>
      </c>
      <c r="J7" s="13">
        <f>'[1]月度数据汇总--女装'!J23</f>
        <v>0</v>
      </c>
      <c r="K7" s="13">
        <f>'[1]月度数据汇总--女装'!K23</f>
        <v>0</v>
      </c>
      <c r="L7" s="13">
        <f>'[1]月度数据汇总--女装'!L23</f>
        <v>0</v>
      </c>
      <c r="M7" s="13">
        <f>'[1]月度数据汇总--女装'!M23</f>
        <v>0</v>
      </c>
      <c r="N7" s="13">
        <f>'[1]月度数据汇总--女装'!N23</f>
        <v>0</v>
      </c>
      <c r="O7" s="13">
        <f t="shared" si="0"/>
        <v>0</v>
      </c>
    </row>
    <row r="8" ht="15.6" spans="1:15">
      <c r="A8" s="14"/>
      <c r="B8" s="1" t="s">
        <v>26</v>
      </c>
      <c r="C8" s="15" t="e">
        <f t="shared" ref="C8:O8" si="1">C7/C6</f>
        <v>#DIV/0!</v>
      </c>
      <c r="D8" s="15" t="e">
        <f t="shared" si="1"/>
        <v>#DIV/0!</v>
      </c>
      <c r="E8" s="15" t="e">
        <f t="shared" si="1"/>
        <v>#DIV/0!</v>
      </c>
      <c r="F8" s="15" t="e">
        <f t="shared" si="1"/>
        <v>#DIV/0!</v>
      </c>
      <c r="G8" s="15" t="e">
        <f t="shared" si="1"/>
        <v>#DIV/0!</v>
      </c>
      <c r="H8" s="15" t="e">
        <f t="shared" si="1"/>
        <v>#DIV/0!</v>
      </c>
      <c r="I8" s="15">
        <f t="shared" si="1"/>
        <v>0</v>
      </c>
      <c r="J8" s="15">
        <f t="shared" si="1"/>
        <v>0</v>
      </c>
      <c r="K8" s="15">
        <f t="shared" si="1"/>
        <v>0</v>
      </c>
      <c r="L8" s="15">
        <f t="shared" si="1"/>
        <v>0</v>
      </c>
      <c r="M8" s="15">
        <f t="shared" si="1"/>
        <v>0</v>
      </c>
      <c r="N8" s="15">
        <f t="shared" si="1"/>
        <v>0</v>
      </c>
      <c r="O8" s="15">
        <f t="shared" si="1"/>
        <v>0</v>
      </c>
    </row>
    <row r="9" ht="15.6" spans="1:15">
      <c r="A9" s="16"/>
      <c r="B9" s="17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32"/>
    </row>
    <row r="10" ht="15.6" spans="1:15">
      <c r="A10" s="14"/>
      <c r="B10" s="1" t="s">
        <v>27</v>
      </c>
      <c r="C10" s="19">
        <f>[1]目标拆解!B97</f>
        <v>0</v>
      </c>
      <c r="D10" s="19">
        <f>[1]目标拆解!C97</f>
        <v>0</v>
      </c>
      <c r="E10" s="19">
        <f>[1]目标拆解!D97</f>
        <v>0</v>
      </c>
      <c r="F10" s="19">
        <f>[1]目标拆解!E97</f>
        <v>0</v>
      </c>
      <c r="G10" s="19">
        <f>[1]目标拆解!F97</f>
        <v>0</v>
      </c>
      <c r="H10" s="19">
        <f>[1]目标拆解!G97</f>
        <v>0</v>
      </c>
      <c r="I10" s="19">
        <f>[1]目标拆解!H97</f>
        <v>4559.27051671733</v>
      </c>
      <c r="J10" s="19">
        <f>[1]目标拆解!I97</f>
        <v>7598.78419452888</v>
      </c>
      <c r="K10" s="19">
        <f>[1]目标拆解!J97</f>
        <v>6838.90577507599</v>
      </c>
      <c r="L10" s="19">
        <f>[1]目标拆解!K97</f>
        <v>6838.90577507599</v>
      </c>
      <c r="M10" s="19">
        <f>[1]目标拆解!L97</f>
        <v>6838.90577507599</v>
      </c>
      <c r="N10" s="19">
        <f>[1]目标拆解!M97</f>
        <v>5319.14893617021</v>
      </c>
      <c r="O10" s="33">
        <f t="shared" si="0"/>
        <v>37993.9209726444</v>
      </c>
    </row>
    <row r="11" ht="15.6" spans="1:15">
      <c r="A11" s="14"/>
      <c r="B11" s="12" t="s">
        <v>28</v>
      </c>
      <c r="C11" s="12">
        <f>'[1]月度数据汇总--女装'!C24</f>
        <v>0</v>
      </c>
      <c r="D11" s="12">
        <f>'[1]月度数据汇总--女装'!D24</f>
        <v>0</v>
      </c>
      <c r="E11" s="12">
        <f>'[1]月度数据汇总--女装'!E24</f>
        <v>0</v>
      </c>
      <c r="F11" s="12">
        <f>'[1]月度数据汇总--女装'!F24</f>
        <v>0</v>
      </c>
      <c r="G11" s="12">
        <f>'[1]月度数据汇总--女装'!G24</f>
        <v>0</v>
      </c>
      <c r="H11" s="12">
        <f>'[1]月度数据汇总--女装'!H24</f>
        <v>0</v>
      </c>
      <c r="I11" s="12">
        <f>'[1]月度数据汇总--女装'!I24</f>
        <v>0</v>
      </c>
      <c r="J11" s="12">
        <f>'[1]月度数据汇总--女装'!J24</f>
        <v>0</v>
      </c>
      <c r="K11" s="12">
        <f>'[1]月度数据汇总--女装'!K24</f>
        <v>0</v>
      </c>
      <c r="L11" s="12">
        <f>'[1]月度数据汇总--女装'!L24</f>
        <v>0</v>
      </c>
      <c r="M11" s="12">
        <f>'[1]月度数据汇总--女装'!M24</f>
        <v>0</v>
      </c>
      <c r="N11" s="12">
        <f>'[1]月度数据汇总--女装'!N24</f>
        <v>0</v>
      </c>
      <c r="O11" s="12">
        <f t="shared" si="0"/>
        <v>0</v>
      </c>
    </row>
    <row r="12" ht="15.6" spans="1:15">
      <c r="A12" s="14"/>
      <c r="B12" s="1" t="s">
        <v>29</v>
      </c>
      <c r="C12" s="15" t="e">
        <f t="shared" ref="C12:O12" si="2">C11/C10</f>
        <v>#DIV/0!</v>
      </c>
      <c r="D12" s="15" t="e">
        <f t="shared" si="2"/>
        <v>#DIV/0!</v>
      </c>
      <c r="E12" s="15" t="e">
        <f t="shared" si="2"/>
        <v>#DIV/0!</v>
      </c>
      <c r="F12" s="15" t="e">
        <f t="shared" si="2"/>
        <v>#DIV/0!</v>
      </c>
      <c r="G12" s="15" t="e">
        <f t="shared" si="2"/>
        <v>#DIV/0!</v>
      </c>
      <c r="H12" s="15" t="e">
        <f t="shared" si="2"/>
        <v>#DIV/0!</v>
      </c>
      <c r="I12" s="15">
        <f t="shared" si="2"/>
        <v>0</v>
      </c>
      <c r="J12" s="15">
        <f t="shared" si="2"/>
        <v>0</v>
      </c>
      <c r="K12" s="15">
        <f t="shared" si="2"/>
        <v>0</v>
      </c>
      <c r="L12" s="15">
        <f t="shared" si="2"/>
        <v>0</v>
      </c>
      <c r="M12" s="15">
        <f t="shared" si="2"/>
        <v>0</v>
      </c>
      <c r="N12" s="15">
        <f t="shared" si="2"/>
        <v>0</v>
      </c>
      <c r="O12" s="15">
        <f t="shared" si="2"/>
        <v>0</v>
      </c>
    </row>
    <row r="13" ht="15.6" spans="1:15">
      <c r="A13" s="14"/>
      <c r="B13" s="17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32"/>
    </row>
    <row r="14" ht="15.6" spans="1:15">
      <c r="A14" s="14"/>
      <c r="B14" s="1" t="s">
        <v>30</v>
      </c>
      <c r="C14" s="20">
        <f>[1]目标拆解!B99</f>
        <v>0</v>
      </c>
      <c r="D14" s="20">
        <f>[1]目标拆解!C99</f>
        <v>0</v>
      </c>
      <c r="E14" s="20">
        <f>[1]目标拆解!D99</f>
        <v>0</v>
      </c>
      <c r="F14" s="20">
        <f>[1]目标拆解!E99</f>
        <v>0</v>
      </c>
      <c r="G14" s="20">
        <f>[1]目标拆解!F99</f>
        <v>0</v>
      </c>
      <c r="H14" s="20">
        <f>[1]目标拆解!G99</f>
        <v>0</v>
      </c>
      <c r="I14" s="20">
        <f>[1]目标拆解!H99</f>
        <v>957.446808510638</v>
      </c>
      <c r="J14" s="20">
        <f>[1]目标拆解!I99</f>
        <v>1595.74468085106</v>
      </c>
      <c r="K14" s="20">
        <f>[1]目标拆解!J99</f>
        <v>1436.17021276596</v>
      </c>
      <c r="L14" s="20">
        <f>[1]目标拆解!K99</f>
        <v>1436.17021276596</v>
      </c>
      <c r="M14" s="20">
        <f>[1]目标拆解!L99</f>
        <v>1436.17021276596</v>
      </c>
      <c r="N14" s="20">
        <f>[1]目标拆解!M99</f>
        <v>1117.02127659574</v>
      </c>
      <c r="O14" s="33">
        <f t="shared" ref="O14:O19" si="3">SUM(C14:N14)</f>
        <v>7978.72340425532</v>
      </c>
    </row>
    <row r="15" ht="15.6" spans="1:15">
      <c r="A15" s="14"/>
      <c r="B15" s="12" t="s">
        <v>31</v>
      </c>
      <c r="C15" s="12">
        <f>'[1]月度数据汇总--女装'!C25</f>
        <v>0</v>
      </c>
      <c r="D15" s="12">
        <f>'[1]月度数据汇总--女装'!D25</f>
        <v>0</v>
      </c>
      <c r="E15" s="12">
        <f>'[1]月度数据汇总--女装'!E25</f>
        <v>0</v>
      </c>
      <c r="F15" s="12">
        <f>'[1]月度数据汇总--女装'!F25</f>
        <v>0</v>
      </c>
      <c r="G15" s="12">
        <f>'[1]月度数据汇总--女装'!G25</f>
        <v>0</v>
      </c>
      <c r="H15" s="12">
        <f>'[1]月度数据汇总--女装'!H25</f>
        <v>0</v>
      </c>
      <c r="I15" s="12">
        <f>'[1]月度数据汇总--女装'!I25</f>
        <v>0</v>
      </c>
      <c r="J15" s="12">
        <f>'[1]月度数据汇总--女装'!J25</f>
        <v>0</v>
      </c>
      <c r="K15" s="12">
        <f>'[1]月度数据汇总--女装'!K25</f>
        <v>0</v>
      </c>
      <c r="L15" s="12">
        <f>'[1]月度数据汇总--女装'!L25</f>
        <v>0</v>
      </c>
      <c r="M15" s="12">
        <f>'[1]月度数据汇总--女装'!M25</f>
        <v>0</v>
      </c>
      <c r="N15" s="12">
        <f>'[1]月度数据汇总--女装'!N25</f>
        <v>0</v>
      </c>
      <c r="O15" s="12">
        <f t="shared" si="3"/>
        <v>0</v>
      </c>
    </row>
    <row r="16" ht="15.6" spans="1:15">
      <c r="A16" s="14"/>
      <c r="B16" s="1" t="s">
        <v>32</v>
      </c>
      <c r="C16" s="15" t="e">
        <f t="shared" ref="C16:O16" si="4">C15/C14</f>
        <v>#DIV/0!</v>
      </c>
      <c r="D16" s="15" t="e">
        <f t="shared" si="4"/>
        <v>#DIV/0!</v>
      </c>
      <c r="E16" s="15" t="e">
        <f t="shared" si="4"/>
        <v>#DIV/0!</v>
      </c>
      <c r="F16" s="15" t="e">
        <f t="shared" si="4"/>
        <v>#DIV/0!</v>
      </c>
      <c r="G16" s="15" t="e">
        <f t="shared" si="4"/>
        <v>#DIV/0!</v>
      </c>
      <c r="H16" s="15" t="e">
        <f t="shared" si="4"/>
        <v>#DIV/0!</v>
      </c>
      <c r="I16" s="15">
        <f t="shared" si="4"/>
        <v>0</v>
      </c>
      <c r="J16" s="15">
        <f t="shared" si="4"/>
        <v>0</v>
      </c>
      <c r="K16" s="15">
        <f t="shared" si="4"/>
        <v>0</v>
      </c>
      <c r="L16" s="15">
        <f t="shared" si="4"/>
        <v>0</v>
      </c>
      <c r="M16" s="15">
        <f t="shared" si="4"/>
        <v>0</v>
      </c>
      <c r="N16" s="15">
        <f t="shared" si="4"/>
        <v>0</v>
      </c>
      <c r="O16" s="15">
        <f t="shared" si="4"/>
        <v>0</v>
      </c>
    </row>
    <row r="17" ht="15.6" spans="1:15">
      <c r="A17" s="14"/>
      <c r="B17" s="17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32"/>
    </row>
    <row r="18" ht="15.6" spans="1:15">
      <c r="A18" s="21"/>
      <c r="B18" s="22" t="s">
        <v>33</v>
      </c>
      <c r="C18" s="22">
        <f>[1]目标拆解!B89</f>
        <v>0</v>
      </c>
      <c r="D18" s="22">
        <f>[1]目标拆解!C89</f>
        <v>0</v>
      </c>
      <c r="E18" s="22">
        <f>[1]目标拆解!D89</f>
        <v>0</v>
      </c>
      <c r="F18" s="22">
        <f>[1]目标拆解!E89</f>
        <v>0</v>
      </c>
      <c r="G18" s="22">
        <f>[1]目标拆解!F89</f>
        <v>0</v>
      </c>
      <c r="H18" s="22">
        <f>[1]目标拆解!G89</f>
        <v>0</v>
      </c>
      <c r="I18" s="22">
        <f>[1]目标拆解!H89</f>
        <v>21428571.4285714</v>
      </c>
      <c r="J18" s="22">
        <f>[1]目标拆解!I89</f>
        <v>35714285.7142857</v>
      </c>
      <c r="K18" s="22">
        <f>[1]目标拆解!J89</f>
        <v>32142857.1428571</v>
      </c>
      <c r="L18" s="22">
        <f>[1]目标拆解!K89</f>
        <v>32142857.1428571</v>
      </c>
      <c r="M18" s="22">
        <f>[1]目标拆解!L89</f>
        <v>32142857.1428571</v>
      </c>
      <c r="N18" s="22">
        <f>[1]目标拆解!M89</f>
        <v>25000000</v>
      </c>
      <c r="O18" s="34">
        <f t="shared" si="3"/>
        <v>178571428.571428</v>
      </c>
    </row>
    <row r="19" ht="15.6" spans="1:15">
      <c r="A19" s="21"/>
      <c r="B19" s="23" t="s">
        <v>34</v>
      </c>
      <c r="C19" s="23">
        <f>'[1]月度数据汇总--女装'!C26</f>
        <v>0</v>
      </c>
      <c r="D19" s="23">
        <f>'[1]月度数据汇总--女装'!D26</f>
        <v>0</v>
      </c>
      <c r="E19" s="23">
        <f>'[1]月度数据汇总--女装'!E26</f>
        <v>0</v>
      </c>
      <c r="F19" s="23">
        <f>'[1]月度数据汇总--女装'!F26</f>
        <v>0</v>
      </c>
      <c r="G19" s="23">
        <f>'[1]月度数据汇总--女装'!G26</f>
        <v>0</v>
      </c>
      <c r="H19" s="23">
        <f>'[1]月度数据汇总--女装'!H26</f>
        <v>0</v>
      </c>
      <c r="I19" s="23">
        <f>'[1]月度数据汇总--女装'!I26</f>
        <v>0</v>
      </c>
      <c r="J19" s="23">
        <f>'[1]月度数据汇总--女装'!J26</f>
        <v>0</v>
      </c>
      <c r="K19" s="23">
        <f>'[1]月度数据汇总--女装'!K26</f>
        <v>0</v>
      </c>
      <c r="L19" s="23">
        <f>'[1]月度数据汇总--女装'!L26</f>
        <v>0</v>
      </c>
      <c r="M19" s="23">
        <f>'[1]月度数据汇总--女装'!M26</f>
        <v>0</v>
      </c>
      <c r="N19" s="23">
        <f>'[1]月度数据汇总--女装'!N26</f>
        <v>0</v>
      </c>
      <c r="O19" s="23">
        <f t="shared" si="3"/>
        <v>0</v>
      </c>
    </row>
    <row r="20" ht="15.6" spans="1:15">
      <c r="A20" s="14"/>
      <c r="B20" s="1" t="s">
        <v>35</v>
      </c>
      <c r="C20" s="15" t="e">
        <f t="shared" ref="C20:O20" si="5">C19/C18</f>
        <v>#DIV/0!</v>
      </c>
      <c r="D20" s="15" t="e">
        <f t="shared" si="5"/>
        <v>#DIV/0!</v>
      </c>
      <c r="E20" s="15" t="e">
        <f t="shared" si="5"/>
        <v>#DIV/0!</v>
      </c>
      <c r="F20" s="15" t="e">
        <f t="shared" si="5"/>
        <v>#DIV/0!</v>
      </c>
      <c r="G20" s="15" t="e">
        <f t="shared" si="5"/>
        <v>#DIV/0!</v>
      </c>
      <c r="H20" s="15" t="e">
        <f t="shared" si="5"/>
        <v>#DIV/0!</v>
      </c>
      <c r="I20" s="15">
        <f t="shared" si="5"/>
        <v>0</v>
      </c>
      <c r="J20" s="15">
        <f t="shared" si="5"/>
        <v>0</v>
      </c>
      <c r="K20" s="15">
        <f t="shared" si="5"/>
        <v>0</v>
      </c>
      <c r="L20" s="15">
        <f t="shared" si="5"/>
        <v>0</v>
      </c>
      <c r="M20" s="15">
        <f t="shared" si="5"/>
        <v>0</v>
      </c>
      <c r="N20" s="15">
        <f t="shared" si="5"/>
        <v>0</v>
      </c>
      <c r="O20" s="15">
        <f t="shared" si="5"/>
        <v>0</v>
      </c>
    </row>
    <row r="21" ht="15.6" spans="1:15">
      <c r="A21" s="14"/>
      <c r="B21" s="17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32"/>
    </row>
    <row r="22" ht="15.6" spans="1:15">
      <c r="A22" s="14"/>
      <c r="B22" s="1" t="s">
        <v>36</v>
      </c>
      <c r="C22" s="24">
        <f>[1]目标拆解!B91</f>
        <v>0</v>
      </c>
      <c r="D22" s="24">
        <f>[1]目标拆解!C91</f>
        <v>0</v>
      </c>
      <c r="E22" s="24">
        <f>[1]目标拆解!D91</f>
        <v>0</v>
      </c>
      <c r="F22" s="24">
        <f>[1]目标拆解!E91</f>
        <v>0</v>
      </c>
      <c r="G22" s="24">
        <f>[1]目标拆解!F91</f>
        <v>0</v>
      </c>
      <c r="H22" s="24">
        <f>[1]目标拆解!G91</f>
        <v>0</v>
      </c>
      <c r="I22" s="24">
        <f>[1]目标拆解!H91</f>
        <v>360000</v>
      </c>
      <c r="J22" s="24">
        <f>[1]目标拆解!I91</f>
        <v>600000</v>
      </c>
      <c r="K22" s="24">
        <f>[1]目标拆解!J91</f>
        <v>540000</v>
      </c>
      <c r="L22" s="24">
        <f>[1]目标拆解!K91</f>
        <v>540000</v>
      </c>
      <c r="M22" s="24">
        <f>[1]目标拆解!L91</f>
        <v>540000</v>
      </c>
      <c r="N22" s="24">
        <f>[1]目标拆解!M91</f>
        <v>420000</v>
      </c>
      <c r="O22" s="31">
        <f>SUM(C22:N22)</f>
        <v>3000000</v>
      </c>
    </row>
    <row r="23" ht="15.6" spans="1:15">
      <c r="A23" s="14"/>
      <c r="B23" s="12" t="s">
        <v>37</v>
      </c>
      <c r="C23" s="25">
        <f>'[1]月度数据汇总--女装'!C27</f>
        <v>0</v>
      </c>
      <c r="D23" s="25">
        <f>'[1]月度数据汇总--女装'!D27</f>
        <v>0</v>
      </c>
      <c r="E23" s="25">
        <f>'[1]月度数据汇总--女装'!E27</f>
        <v>0</v>
      </c>
      <c r="F23" s="25">
        <f>'[1]月度数据汇总--女装'!F27</f>
        <v>0</v>
      </c>
      <c r="G23" s="25">
        <f>'[1]月度数据汇总--女装'!G27</f>
        <v>0</v>
      </c>
      <c r="H23" s="25">
        <f>'[1]月度数据汇总--女装'!H27</f>
        <v>0</v>
      </c>
      <c r="I23" s="25">
        <f>'[1]月度数据汇总--女装'!I27</f>
        <v>0</v>
      </c>
      <c r="J23" s="25">
        <f>'[1]月度数据汇总--女装'!J27</f>
        <v>0</v>
      </c>
      <c r="K23" s="25">
        <f>'[1]月度数据汇总--女装'!K27</f>
        <v>0</v>
      </c>
      <c r="L23" s="25">
        <f>'[1]月度数据汇总--女装'!L27</f>
        <v>0</v>
      </c>
      <c r="M23" s="25">
        <f>'[1]月度数据汇总--女装'!M27</f>
        <v>0</v>
      </c>
      <c r="N23" s="25">
        <f>'[1]月度数据汇总--女装'!N27</f>
        <v>0</v>
      </c>
      <c r="O23" s="13">
        <f>SUM(C23:N23)</f>
        <v>0</v>
      </c>
    </row>
    <row r="24" ht="15.6" spans="1:15">
      <c r="A24" s="14"/>
      <c r="B24" s="1" t="s">
        <v>38</v>
      </c>
      <c r="C24" s="15" t="e">
        <f t="shared" ref="C24:O24" si="6">C23/C22</f>
        <v>#DIV/0!</v>
      </c>
      <c r="D24" s="15" t="e">
        <f t="shared" si="6"/>
        <v>#DIV/0!</v>
      </c>
      <c r="E24" s="15" t="e">
        <f t="shared" si="6"/>
        <v>#DIV/0!</v>
      </c>
      <c r="F24" s="15" t="e">
        <f t="shared" si="6"/>
        <v>#DIV/0!</v>
      </c>
      <c r="G24" s="15" t="e">
        <f t="shared" si="6"/>
        <v>#DIV/0!</v>
      </c>
      <c r="H24" s="15" t="e">
        <f t="shared" si="6"/>
        <v>#DIV/0!</v>
      </c>
      <c r="I24" s="15">
        <f t="shared" si="6"/>
        <v>0</v>
      </c>
      <c r="J24" s="15">
        <f t="shared" si="6"/>
        <v>0</v>
      </c>
      <c r="K24" s="15">
        <f t="shared" si="6"/>
        <v>0</v>
      </c>
      <c r="L24" s="15">
        <f t="shared" si="6"/>
        <v>0</v>
      </c>
      <c r="M24" s="15">
        <f t="shared" si="6"/>
        <v>0</v>
      </c>
      <c r="N24" s="15">
        <f t="shared" si="6"/>
        <v>0</v>
      </c>
      <c r="O24" s="15">
        <f t="shared" si="6"/>
        <v>0</v>
      </c>
    </row>
    <row r="25" ht="15.6" spans="1:15">
      <c r="A25" s="14"/>
      <c r="B25" s="17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32"/>
    </row>
    <row r="26" ht="15.6" spans="1:15">
      <c r="A26" s="14"/>
      <c r="B26" s="1" t="s">
        <v>39</v>
      </c>
      <c r="C26" s="15" t="e">
        <f t="shared" ref="C26:O26" si="7">1-C23*12.5/(C19)</f>
        <v>#DIV/0!</v>
      </c>
      <c r="D26" s="15" t="e">
        <f t="shared" si="7"/>
        <v>#DIV/0!</v>
      </c>
      <c r="E26" s="15" t="e">
        <f t="shared" si="7"/>
        <v>#DIV/0!</v>
      </c>
      <c r="F26" s="15" t="e">
        <f t="shared" si="7"/>
        <v>#DIV/0!</v>
      </c>
      <c r="G26" s="15" t="e">
        <f t="shared" si="7"/>
        <v>#DIV/0!</v>
      </c>
      <c r="H26" s="15" t="e">
        <f t="shared" si="7"/>
        <v>#DIV/0!</v>
      </c>
      <c r="I26" s="15" t="e">
        <f t="shared" si="7"/>
        <v>#DIV/0!</v>
      </c>
      <c r="J26" s="15" t="e">
        <f t="shared" si="7"/>
        <v>#DIV/0!</v>
      </c>
      <c r="K26" s="15" t="e">
        <f t="shared" si="7"/>
        <v>#DIV/0!</v>
      </c>
      <c r="L26" s="15" t="e">
        <f t="shared" si="7"/>
        <v>#DIV/0!</v>
      </c>
      <c r="M26" s="15" t="e">
        <f t="shared" si="7"/>
        <v>#DIV/0!</v>
      </c>
      <c r="N26" s="15" t="e">
        <f t="shared" si="7"/>
        <v>#DIV/0!</v>
      </c>
      <c r="O26" s="15" t="e">
        <f t="shared" si="7"/>
        <v>#DIV/0!</v>
      </c>
    </row>
    <row r="27" ht="15.6" spans="1:15">
      <c r="A27" s="14"/>
      <c r="B27" s="1" t="s">
        <v>40</v>
      </c>
      <c r="C27" s="15" t="e">
        <f t="shared" ref="C27:O27" si="8">1-C15/C11</f>
        <v>#DIV/0!</v>
      </c>
      <c r="D27" s="15" t="e">
        <f t="shared" si="8"/>
        <v>#DIV/0!</v>
      </c>
      <c r="E27" s="15" t="e">
        <f t="shared" si="8"/>
        <v>#DIV/0!</v>
      </c>
      <c r="F27" s="15" t="e">
        <f t="shared" si="8"/>
        <v>#DIV/0!</v>
      </c>
      <c r="G27" s="15" t="e">
        <f t="shared" si="8"/>
        <v>#DIV/0!</v>
      </c>
      <c r="H27" s="15" t="e">
        <f t="shared" si="8"/>
        <v>#DIV/0!</v>
      </c>
      <c r="I27" s="15" t="e">
        <f t="shared" si="8"/>
        <v>#DIV/0!</v>
      </c>
      <c r="J27" s="15" t="e">
        <f t="shared" si="8"/>
        <v>#DIV/0!</v>
      </c>
      <c r="K27" s="15" t="e">
        <f t="shared" si="8"/>
        <v>#DIV/0!</v>
      </c>
      <c r="L27" s="15" t="e">
        <f t="shared" si="8"/>
        <v>#DIV/0!</v>
      </c>
      <c r="M27" s="15" t="e">
        <f t="shared" si="8"/>
        <v>#DIV/0!</v>
      </c>
      <c r="N27" s="15" t="e">
        <f t="shared" si="8"/>
        <v>#DIV/0!</v>
      </c>
      <c r="O27" s="15" t="e">
        <f t="shared" si="8"/>
        <v>#DIV/0!</v>
      </c>
    </row>
    <row r="28" ht="15.6" spans="1:15">
      <c r="A28" s="14"/>
      <c r="B28" s="1" t="s">
        <v>41</v>
      </c>
      <c r="C28" s="15" t="e">
        <f t="shared" ref="C28:O28" si="9">C7/(C23)</f>
        <v>#DIV/0!</v>
      </c>
      <c r="D28" s="15" t="e">
        <f t="shared" si="9"/>
        <v>#DIV/0!</v>
      </c>
      <c r="E28" s="15" t="e">
        <f t="shared" si="9"/>
        <v>#DIV/0!</v>
      </c>
      <c r="F28" s="15" t="e">
        <f t="shared" si="9"/>
        <v>#DIV/0!</v>
      </c>
      <c r="G28" s="15" t="e">
        <f t="shared" si="9"/>
        <v>#DIV/0!</v>
      </c>
      <c r="H28" s="15" t="e">
        <f t="shared" si="9"/>
        <v>#DIV/0!</v>
      </c>
      <c r="I28" s="15" t="e">
        <f t="shared" si="9"/>
        <v>#DIV/0!</v>
      </c>
      <c r="J28" s="15" t="e">
        <f t="shared" si="9"/>
        <v>#DIV/0!</v>
      </c>
      <c r="K28" s="15" t="e">
        <f t="shared" si="9"/>
        <v>#DIV/0!</v>
      </c>
      <c r="L28" s="15" t="e">
        <f t="shared" si="9"/>
        <v>#DIV/0!</v>
      </c>
      <c r="M28" s="15" t="e">
        <f t="shared" si="9"/>
        <v>#DIV/0!</v>
      </c>
      <c r="N28" s="15" t="e">
        <f t="shared" si="9"/>
        <v>#DIV/0!</v>
      </c>
      <c r="O28" s="15" t="e">
        <f t="shared" si="9"/>
        <v>#DIV/0!</v>
      </c>
    </row>
    <row r="29" ht="15.6" spans="1:15">
      <c r="A29" s="26"/>
      <c r="B29" s="17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32"/>
    </row>
  </sheetData>
  <mergeCells count="16">
    <mergeCell ref="A1:O1"/>
    <mergeCell ref="C3:E3"/>
    <mergeCell ref="F3:H3"/>
    <mergeCell ref="I3:K3"/>
    <mergeCell ref="L3:N3"/>
    <mergeCell ref="C4:E4"/>
    <mergeCell ref="F4:H4"/>
    <mergeCell ref="I4:K4"/>
    <mergeCell ref="L4:N4"/>
    <mergeCell ref="C5:E5"/>
    <mergeCell ref="F5:H5"/>
    <mergeCell ref="I5:K5"/>
    <mergeCell ref="L5:N5"/>
    <mergeCell ref="A2:A5"/>
    <mergeCell ref="A6:A29"/>
    <mergeCell ref="O2:O5"/>
  </mergeCells>
  <conditionalFormatting sqref="B8:O8 B12:O12 B16:O16 B20:O20 B24:O24 B26:O2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{8f2ad983-3ea2-47d4-a8b8-6ffb91a3edf2}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2ad983-3ea2-47d4-a8b8-6ffb91a3ed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B8:O8 B12:O12 B16:O16 B20:O20 B24:O24 B26:O28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Z-NZTF1店</vt:lpstr>
      <vt:lpstr>G-NZTF1店</vt:lpstr>
      <vt:lpstr>WB纯白关店</vt:lpstr>
      <vt:lpstr>OZ女装店</vt:lpstr>
      <vt:lpstr>WB汤总女装店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12139</dc:creator>
  <cp:lastModifiedBy>毛立新</cp:lastModifiedBy>
  <dcterms:created xsi:type="dcterms:W3CDTF">2026-06-02T08:22:00Z</dcterms:created>
  <dcterms:modified xsi:type="dcterms:W3CDTF">2026-06-25T01:18:04Z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7FF1532D6B6C40B991FB53EBEEEC08F4_11</vt:lpwstr>
  </property>
  <property fmtid="{D5CDD505-2E9C-101B-9397-08002B2CF9AE}" pid="3" name="KSOProductBuildVer">
    <vt:lpwstr>2052-12.1.0.21915</vt:lpwstr>
  </property>
</Properties>
</file>